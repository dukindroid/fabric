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4760" activeTab="1"/>
  </bookViews>
  <sheets>
    <sheet name="datos iniciales" sheetId="1" r:id="rId1"/>
    <sheet name="Flotilla" sheetId="3" r:id="rId2"/>
    <sheet name="existencia" sheetId="4" r:id="rId3"/>
    <sheet name="existencia.old" sheetId="5" r:id="rId4"/>
    <sheet name="insumos" sheetId="6" r:id="rId5"/>
    <sheet name="herramienta" sheetId="7" r:id="rId6"/>
    <sheet name="mapa de red" sheetId="8" r:id="rId7"/>
    <sheet name="tmp" sheetId="2" r:id="rId8"/>
  </sheets>
  <definedNames>
    <definedName name="_xlnm._FilterDatabase" localSheetId="1" hidden="1">Flotilla!$A$1:$G$33</definedName>
  </definedNames>
  <calcPr calcId="145621"/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<sst xmlns="http://schemas.openxmlformats.org/spreadsheetml/2006/main" count="869" uniqueCount="567">
  <si>
    <t>T</t>
  </si>
  <si>
    <t>Choferes</t>
  </si>
  <si>
    <t>Grupo de Whatsapp de GMLF</t>
  </si>
  <si>
    <t>Cons.</t>
  </si>
  <si>
    <t>Descripción</t>
  </si>
  <si>
    <t>Chofer</t>
  </si>
  <si>
    <t>Placas</t>
  </si>
  <si>
    <t>Áreas</t>
  </si>
  <si>
    <t>Categorías</t>
  </si>
  <si>
    <t>Puestos</t>
  </si>
  <si>
    <t>Proveedores</t>
  </si>
  <si>
    <t>Nombre</t>
  </si>
  <si>
    <t>Teléfono</t>
  </si>
  <si>
    <t>COLCEM</t>
  </si>
  <si>
    <t>Herramienta</t>
  </si>
  <si>
    <t>Javier Gutiérrez Herrera</t>
  </si>
  <si>
    <t>Julio Pizano</t>
  </si>
  <si>
    <t>LEOGSA</t>
  </si>
  <si>
    <t>Refacciones</t>
  </si>
  <si>
    <t>Almacenista</t>
  </si>
  <si>
    <t>Jesus Esteban Eudabe</t>
  </si>
  <si>
    <t>Diego</t>
  </si>
  <si>
    <t>MINA</t>
  </si>
  <si>
    <t>Refacciones/Bomba de aceite</t>
  </si>
  <si>
    <t>Mecánico (Gral)</t>
  </si>
  <si>
    <t>El Ingeniero</t>
  </si>
  <si>
    <t>TALLER</t>
  </si>
  <si>
    <t>Refacciones/Mangueras</t>
  </si>
  <si>
    <t>Mecánico (Elec)</t>
  </si>
  <si>
    <t>Martin Gonzalez</t>
  </si>
  <si>
    <t>plataforma</t>
  </si>
  <si>
    <t>Jairo</t>
  </si>
  <si>
    <t>RIO</t>
  </si>
  <si>
    <t>Refacciones/Llantas</t>
  </si>
  <si>
    <t>Encargado de Planta física</t>
  </si>
  <si>
    <t>Samuel</t>
  </si>
  <si>
    <t>CHUY</t>
  </si>
  <si>
    <t>Refacciones/Tornillería</t>
  </si>
  <si>
    <t>Afanador</t>
  </si>
  <si>
    <t>Cascadia</t>
  </si>
  <si>
    <t>Carlos Magallanes</t>
  </si>
  <si>
    <t>INVERSIÓN</t>
  </si>
  <si>
    <t>Insumos</t>
  </si>
  <si>
    <t>Montacarguista</t>
  </si>
  <si>
    <t>Ricardo Eudabe</t>
  </si>
  <si>
    <t>Prostar</t>
  </si>
  <si>
    <t>Rafael Gonzáles</t>
  </si>
  <si>
    <t>TODO</t>
  </si>
  <si>
    <t>Insumos/Aceites y Lubricantes</t>
  </si>
  <si>
    <t>Operador</t>
  </si>
  <si>
    <t>grua</t>
  </si>
  <si>
    <t>Lalo</t>
  </si>
  <si>
    <t>CONSUMIBLES</t>
  </si>
  <si>
    <t>Refacciones/Filtros</t>
  </si>
  <si>
    <t>Soldador</t>
  </si>
  <si>
    <t>pipa</t>
  </si>
  <si>
    <t>Juan Eudabe</t>
  </si>
  <si>
    <t>PREMEZ</t>
  </si>
  <si>
    <t>Insumos/Pinturas</t>
  </si>
  <si>
    <t>Administrativo</t>
  </si>
  <si>
    <t>GRUPO VILLEGAS</t>
  </si>
  <si>
    <t>MODULO</t>
  </si>
  <si>
    <t>Refacciones/Marcha</t>
  </si>
  <si>
    <t>Manuel Sanchez</t>
  </si>
  <si>
    <t>Refacciones/Transmisión</t>
  </si>
  <si>
    <t>Emilio Franco</t>
  </si>
  <si>
    <t>Refacciones/Baleros</t>
  </si>
  <si>
    <t>Insumos/Abrasivos</t>
  </si>
  <si>
    <t>plataforma/grua</t>
  </si>
  <si>
    <t>Jesús Verduzco</t>
  </si>
  <si>
    <t>Insumos/Limpieza</t>
  </si>
  <si>
    <t>Trompo</t>
  </si>
  <si>
    <t>Refacciónes/Sist. de aire</t>
  </si>
  <si>
    <t>Kenworth</t>
  </si>
  <si>
    <t>Fernando Escamilla</t>
  </si>
  <si>
    <t>Refacciones/Sist. Eléctrico</t>
  </si>
  <si>
    <t>Volteo</t>
  </si>
  <si>
    <t>Brayan</t>
  </si>
  <si>
    <t>Antonio</t>
  </si>
  <si>
    <t>Ruta</t>
  </si>
  <si>
    <t>Miguel</t>
  </si>
  <si>
    <t>Juan Manuel Sanchez</t>
  </si>
  <si>
    <t>Mototaxi</t>
  </si>
  <si>
    <t>Sitrak</t>
  </si>
  <si>
    <t>Urbina Arq.</t>
  </si>
  <si>
    <t>montacargas 1</t>
  </si>
  <si>
    <t>JHRA</t>
  </si>
  <si>
    <t>montacargas 2</t>
  </si>
  <si>
    <t>Un amor para siempre</t>
  </si>
  <si>
    <t>Siempre hay jornada por hacer</t>
  </si>
  <si>
    <t>Aceite a partir de 2 de mayo 2025</t>
  </si>
  <si>
    <t>Me dejaron</t>
  </si>
  <si>
    <t>Refacciones para la unidad 2 y 3</t>
  </si>
  <si>
    <t>una</t>
  </si>
  <si>
    <t>2 litros para la unidad 1</t>
  </si>
  <si>
    <t>Dos yugos para toma de fuerza</t>
  </si>
  <si>
    <t>14000NN</t>
  </si>
  <si>
    <t>cu</t>
  </si>
  <si>
    <t>5 litros para la unida 3</t>
  </si>
  <si>
    <t>un rodamiento tinken</t>
  </si>
  <si>
    <t>FF2200</t>
  </si>
  <si>
    <t>be</t>
  </si>
  <si>
    <t>7 litros para la unidad 4</t>
  </si>
  <si>
    <t>GP11</t>
  </si>
  <si>
    <t>ta</t>
  </si>
  <si>
    <t>5 litros para la unida 5</t>
  </si>
  <si>
    <t>MANGUERA PARA AGUA 3/8</t>
  </si>
  <si>
    <t>Amortiguadores de cabina: t71-100</t>
  </si>
  <si>
    <t>5 litros para el paylo 200</t>
  </si>
  <si>
    <t>4 LAGARTIJA S DE BOLA</t>
  </si>
  <si>
    <t>De atras 69757</t>
  </si>
  <si>
    <t>2 LAGARTIJAS</t>
  </si>
  <si>
    <t>Aceite a partir de 12 de mayo de 2025</t>
  </si>
  <si>
    <t>5 litros para la unidad 2</t>
  </si>
  <si>
    <t>Cotización de herramienta para llantas</t>
  </si>
  <si>
    <t>Monta válvulas, saca pivote, carretilla</t>
  </si>
  <si>
    <t>https://articulo.mercadolibre.com.mx/MLM-1447563193-monta-valvulas-sacapivote-para-valvulas-carretilla-para-_JM</t>
  </si>
  <si>
    <t>Amoladora de aire</t>
  </si>
  <si>
    <t>https://www.mercadolibre.com.mx/amoladora-neumatica-juego-de-mototool-mini-taladro-esmeril-con-accesorios-mototool-de-aire-esmeriladora-neumatica-profesional-para-pulir-lijar-perforar-cortar-grabar-bowoshen/p/MLM36240478#polycard_client=search-nordic&amp;searchVariation=MLM36240478&amp;wid=MLM2057486619&amp;position=2&amp;search_layout=grid&amp;type=product&amp;tracking_id=b5a8f63c-3625-4fef-990c-1384ac1626b3&amp;sid=search</t>
  </si>
  <si>
    <t xml:space="preserve">Parches radiales </t>
  </si>
  <si>
    <t>https://www.mercadolibre.com.mx/parches-vermar-radiales-svr14-universo-15pzs/up/MLMU463835711#polycard_client=search-nordic&amp;searchVariation=MLMU463835711&amp;wid=MLM1744011192&amp;position=14&amp;search_layout=grid&amp;type=product&amp;tracking_id=9cf88644-4b0e-418c-9be1-a778213ed6c7&amp;sid=search</t>
  </si>
  <si>
    <t>Cemento</t>
  </si>
  <si>
    <t>https://www.mercadolibre.com.mx/cemento--rema-tiptop-650-ml-para-vulcanizado-en-frio/up/MLMU538639223#polycard_client=search-nordic&amp;searchVariation=MLMU538639223&amp;backend_model=search-backend&amp;wid=MLM808601305&amp;position=5&amp;search_layout=grid&amp;type=product&amp;tracking_id=59bf3f6f-1873-4518-b21a-847924de0a50&amp;sid=search</t>
  </si>
  <si>
    <t>Lubricante</t>
  </si>
  <si>
    <t>https://www.mercadolibre.com.mx/lubricante-lubrivermar-para-montar-llantas-y-camaras/up/MLMU524627075#polycard_client=search-nordic&amp;searchVariation=MLMU524627075&amp;backend_model=search-backend&amp;wid=MLM767252185&amp;position=4&amp;search_layout=stack&amp;type=product&amp;tracking_id=068405d2-fd41-4f7e-a61d-aa0b8d227534&amp;sid=search</t>
  </si>
  <si>
    <t>Carda cazuela</t>
  </si>
  <si>
    <t>https://www.mercadolibre.com.mx/carda-cazuela-con-adaptador-para-mototool-1-pza/up/MLMU524292927#polycard_client=search-nordic&amp;searchVariation=MLMU524292927&amp;wid=MLM764924643&amp;position=2&amp;search_layout=grid&amp;type=product&amp;tracking_id=b7935a5f-0e38-4e11-8149-e468bd5df483&amp;sid=search</t>
  </si>
  <si>
    <t>Carda copa grano 36</t>
  </si>
  <si>
    <t>https://www.mercadolibre.com.mx/carda-copa-grano-36-para-raspado-reparacion-de-llantas-color-bronce/p/MLM46813938?searchVariation=MLM46813938#polycard_client=search-nordic&amp;searchVariation=MLM46813938&amp;wid=MLM3586816330&amp;position=2&amp;search_layout=grid&amp;type=product&amp;tracking_id=5f00340e-bd92-4eec-92d1-2d0d9b64f08c&amp;sid=search</t>
  </si>
  <si>
    <t>Espiga rápida</t>
  </si>
  <si>
    <t>https://articulo.mercadolibre.com.mx/MLM-1457923008-espiga-rapida-para-valvula-inflado-llantero-2-pza-_JM#polycard_client=search-nordic&amp;position=30&amp;search_layout=grid&amp;type=item&amp;tracking_id=920d4a33-8f65-45b2-9611-267751f39b9f&amp;wid=MLM1457923008&amp;sid=search</t>
  </si>
  <si>
    <t xml:space="preserve">Desmontadora de llantas </t>
  </si>
  <si>
    <t>https://articulo.mercadolibre.com.mx/MLM-3345342192-desmontadora-manual-para-llantas-rin-8-a-24-cambio-de-llanta-_JM#polycard_client=search-nordic&amp;position=35&amp;search_layout=grid&amp;type=item&amp;tracking_id=5c53741e-8a70-4958-9b94-06e5dcbd2257&amp;wid=MLM3345342192&amp;sid=search</t>
  </si>
  <si>
    <t>ANAQUELES</t>
  </si>
  <si>
    <t>ANAQUEL A</t>
  </si>
  <si>
    <t xml:space="preserve">* filtros
* papelería
* insumos en lata
  * arrancador
  * aflojatodo
  * cemento para cpvc
  * limpiador de terminales
  * limpiador de carburación
* retenes
* bandas
* metales para cigueñal
* discos de corte y desbaste, 4 1/2 y 7" </t>
  </si>
  <si>
    <t>ANAQUEL B</t>
  </si>
  <si>
    <t>ANAQUEL C</t>
  </si>
  <si>
    <t>ANAQUEL D</t>
  </si>
  <si>
    <t>ANAQUEL E</t>
  </si>
  <si>
    <t>Chumaceras</t>
  </si>
  <si>
    <t>Bolsas de aire</t>
  </si>
  <si>
    <t>Fiiltros de aire</t>
  </si>
  <si>
    <t>Tornilleria</t>
  </si>
  <si>
    <t>Coples y rejillas 8f</t>
  </si>
  <si>
    <t>tanque de aire</t>
  </si>
  <si>
    <t>articulos de limpieza</t>
  </si>
  <si>
    <t>Extintores</t>
  </si>
  <si>
    <t>Chatarra variada</t>
  </si>
  <si>
    <t>tapas de masa</t>
  </si>
  <si>
    <t>Embudos</t>
  </si>
  <si>
    <t>vellomoy</t>
  </si>
  <si>
    <t>balatas</t>
  </si>
  <si>
    <t>empaques para tapa de masa</t>
  </si>
  <si>
    <t>Grasa para baleros</t>
  </si>
  <si>
    <t>colcha insuladora</t>
  </si>
  <si>
    <t>masas</t>
  </si>
  <si>
    <t>crucetas</t>
  </si>
  <si>
    <t>Empaques</t>
  </si>
  <si>
    <t>trapo insulador</t>
  </si>
  <si>
    <t>dientes</t>
  </si>
  <si>
    <t>refacciones frenos aire</t>
  </si>
  <si>
    <t>Ligas</t>
  </si>
  <si>
    <t>hule de bolitas</t>
  </si>
  <si>
    <t>baleros</t>
  </si>
  <si>
    <t>Lija</t>
  </si>
  <si>
    <t>bandas grandes</t>
  </si>
  <si>
    <t>Cinchos</t>
  </si>
  <si>
    <t>zapatas para freno de disco</t>
  </si>
  <si>
    <t>Id.</t>
  </si>
  <si>
    <t>Chino</t>
  </si>
  <si>
    <t>Chritian</t>
  </si>
  <si>
    <t>Montacargas 1 (Bloquera)</t>
  </si>
  <si>
    <t>Montacargas 2 (Cedis)</t>
  </si>
  <si>
    <t>Montacargas 3 (Nuevo)</t>
  </si>
  <si>
    <t>Montacargas 4 (Eléctrico)</t>
  </si>
  <si>
    <t>Payloader Amarillo 1</t>
  </si>
  <si>
    <t>Payloader Amarillo 2</t>
  </si>
  <si>
    <t>Payloader SD200</t>
  </si>
  <si>
    <t>Payloader SD300</t>
  </si>
  <si>
    <t>Excavadora Doosan</t>
  </si>
  <si>
    <t>Unidad</t>
  </si>
  <si>
    <t>Grupo</t>
  </si>
  <si>
    <t>Intensidad de Uso</t>
  </si>
  <si>
    <t>Costo Servicio</t>
  </si>
  <si>
    <t>Último Servicio</t>
  </si>
  <si>
    <t>5. Maq. Pesada</t>
  </si>
  <si>
    <t>Excavadora</t>
  </si>
  <si>
    <t>1alta</t>
  </si>
  <si>
    <t>Germán</t>
  </si>
  <si>
    <t>Unidad 08</t>
  </si>
  <si>
    <t>4. Plataforma/grúa</t>
  </si>
  <si>
    <t>Grúa</t>
  </si>
  <si>
    <t>Lalo Heredia</t>
  </si>
  <si>
    <r>
      <rPr>
        <sz val="12"/>
        <color theme="1"/>
        <rFont val="Arial"/>
      </rPr>
      <t>Unidad 22</t>
    </r>
  </si>
  <si>
    <t>Juan Manuel Sánchez</t>
  </si>
  <si>
    <t>Montacargas 1 (Prod.)</t>
  </si>
  <si>
    <t>Montacargas</t>
  </si>
  <si>
    <t>Tilín</t>
  </si>
  <si>
    <t>3baja</t>
  </si>
  <si>
    <t>-</t>
  </si>
  <si>
    <t>Montacargas 4 (Nuevo)</t>
  </si>
  <si>
    <t>Montacargas 3 (Eléctrico)</t>
  </si>
  <si>
    <t>4nula</t>
  </si>
  <si>
    <t>5. Misc.</t>
  </si>
  <si>
    <t>Mototriciclo</t>
  </si>
  <si>
    <t>QED</t>
  </si>
  <si>
    <t>Payloader</t>
  </si>
  <si>
    <t>Ruben</t>
  </si>
  <si>
    <t>Chino Carrillo</t>
  </si>
  <si>
    <t>Fidel</t>
  </si>
  <si>
    <t>Unidad 09</t>
  </si>
  <si>
    <t>Pipa</t>
  </si>
  <si>
    <t>Juan Nava</t>
  </si>
  <si>
    <t>Unidad 04</t>
  </si>
  <si>
    <t>Plataforma</t>
  </si>
  <si>
    <t>Unidad 05</t>
  </si>
  <si>
    <t>Christian</t>
  </si>
  <si>
    <r>
      <rPr>
        <sz val="12"/>
        <color theme="1"/>
        <rFont val="Arial"/>
      </rPr>
      <t>Unidad 14</t>
    </r>
  </si>
  <si>
    <t>Jesus Verduzco</t>
  </si>
  <si>
    <r>
      <rPr>
        <sz val="12"/>
        <color theme="1"/>
        <rFont val="Arial"/>
      </rPr>
      <t>Unidad 21</t>
    </r>
  </si>
  <si>
    <t>2media</t>
  </si>
  <si>
    <t>Ernesto Cabezas</t>
  </si>
  <si>
    <t>Unidad 01</t>
  </si>
  <si>
    <t>1. Kenworth</t>
  </si>
  <si>
    <t>Tracto</t>
  </si>
  <si>
    <t>Unidad 02</t>
  </si>
  <si>
    <t>Unidad 07</t>
  </si>
  <si>
    <t>2. Prostar</t>
  </si>
  <si>
    <t>Rafa Cachondo</t>
  </si>
  <si>
    <r>
      <rPr>
        <sz val="12"/>
        <color theme="1"/>
        <rFont val="Arial"/>
      </rPr>
      <t>Unidad 18</t>
    </r>
  </si>
  <si>
    <t>3. Cascadia</t>
  </si>
  <si>
    <r>
      <rPr>
        <sz val="12"/>
        <color theme="1"/>
        <rFont val="Arial"/>
      </rPr>
      <t>Unidad 13</t>
    </r>
  </si>
  <si>
    <r>
      <rPr>
        <sz val="12"/>
        <color theme="1"/>
        <rFont val="Arial"/>
      </rPr>
      <t>Unidad 16</t>
    </r>
  </si>
  <si>
    <t>Unidad 03</t>
  </si>
  <si>
    <t>Unidad 06</t>
  </si>
  <si>
    <r>
      <rPr>
        <sz val="12"/>
        <color theme="1"/>
        <rFont val="Arial"/>
      </rPr>
      <t>Unidad 11</t>
    </r>
  </si>
  <si>
    <r>
      <rPr>
        <sz val="12"/>
        <color theme="1"/>
        <rFont val="Arial"/>
      </rPr>
      <t>Unidad 12</t>
    </r>
  </si>
  <si>
    <t>SITRAK</t>
  </si>
  <si>
    <r>
      <rPr>
        <sz val="12"/>
        <color theme="1"/>
        <rFont val="Arial"/>
      </rPr>
      <t>Unidad 19</t>
    </r>
  </si>
  <si>
    <r>
      <rPr>
        <sz val="12"/>
        <color theme="1"/>
        <rFont val="Arial"/>
      </rPr>
      <t>Unidad 20</t>
    </r>
  </si>
  <si>
    <r>
      <rPr>
        <sz val="12"/>
        <color theme="1"/>
        <rFont val="Arial"/>
      </rPr>
      <t>Unidad 15</t>
    </r>
  </si>
  <si>
    <r>
      <rPr>
        <sz val="12"/>
        <color theme="1"/>
        <rFont val="Arial"/>
      </rPr>
      <t>Unidad 17</t>
    </r>
  </si>
  <si>
    <t>CANTIDAD</t>
  </si>
  <si>
    <t>UNIDAD</t>
  </si>
  <si>
    <t>MARCA</t>
  </si>
  <si>
    <t>SKU</t>
  </si>
  <si>
    <t>CATEGORIA</t>
  </si>
  <si>
    <t>DESCRIPCIÓN</t>
  </si>
  <si>
    <t>UBICACIÓN</t>
  </si>
  <si>
    <t>RESPONSABLE</t>
  </si>
  <si>
    <t>COSTO</t>
  </si>
  <si>
    <t>LINK</t>
  </si>
  <si>
    <t>PZA</t>
  </si>
  <si>
    <t>BOCINA BLUETOOTH SELECTSOUND</t>
  </si>
  <si>
    <t>SARGENTO SENCILLO</t>
  </si>
  <si>
    <t>CARGADOR DE BATERIA CON ARRANCADOR</t>
  </si>
  <si>
    <t>HIDROLAVADORA HPULTRA 1800</t>
  </si>
  <si>
    <t>PORTAPOWER</t>
  </si>
  <si>
    <t>BLOQUERA</t>
  </si>
  <si>
    <t>MAGANDA MICHEL</t>
  </si>
  <si>
    <t>ARNÉS PARA DESBROZADORA</t>
  </si>
  <si>
    <t>CARETA DE JARDINERO</t>
  </si>
  <si>
    <t>MANDIL</t>
  </si>
  <si>
    <t>DESBROZADORA STIHL</t>
  </si>
  <si>
    <t>EMBUDO</t>
  </si>
  <si>
    <t>MTS</t>
  </si>
  <si>
    <t>TUBO ZAPA 2"</t>
  </si>
  <si>
    <t>PASTILLA TÉRMICA INTERRUPTORA TRIFÁSICA 63A</t>
  </si>
  <si>
    <t>ROLLO DE PAPEL HIGIÉNICO</t>
  </si>
  <si>
    <t>LTS</t>
  </si>
  <si>
    <t>CLORALEX</t>
  </si>
  <si>
    <t>LIMPIADOR PARA PISOS POETT</t>
  </si>
  <si>
    <t>LIMPIADOR PARA PISOS FABULOSO</t>
  </si>
  <si>
    <t>KG</t>
  </si>
  <si>
    <t>DETERGENTE EN POLVO ROMA</t>
  </si>
  <si>
    <t>PALANCA TNT100</t>
  </si>
  <si>
    <t>BARRETA RECTA HEXAGONAL</t>
  </si>
  <si>
    <t>PINZAS DE ELECTRICISTA</t>
  </si>
  <si>
    <t>FLEXÓMETRO 5MTS</t>
  </si>
  <si>
    <t>ROLLO DE CINTA AISLANTE</t>
  </si>
  <si>
    <t>ROLLO DE CINTA TEFLON</t>
  </si>
  <si>
    <t>SERRUCHO 18"</t>
  </si>
  <si>
    <t>SERRUCHO 24"</t>
  </si>
  <si>
    <t>BOMBA DE AGUA 4.8H</t>
  </si>
  <si>
    <t>DOOSAN</t>
  </si>
  <si>
    <t>K1043778B</t>
  </si>
  <si>
    <t>PERNO MENOR</t>
  </si>
  <si>
    <t>https://spanish.alibaba.com/p-detail/Doosan-1601042333078.html?spm=a2700.galleryofferlist.normal_offer.d_image.25875f04dbsTpq</t>
  </si>
  <si>
    <t>120501-00124</t>
  </si>
  <si>
    <t>PERNO MAYOR</t>
  </si>
  <si>
    <t>https://spanish.alibaba.com/p-detail/120501-00124-1600938543716.html?spm=a2700.galleryofferlist.normal_offer.d_title.1b8e4c8dU9Sb7X</t>
  </si>
  <si>
    <t>AUTOMANN MOVING</t>
  </si>
  <si>
    <t>HLK7009</t>
  </si>
  <si>
    <t>BRAZO LIMPIABRISAS</t>
  </si>
  <si>
    <t>KENWORTH</t>
  </si>
  <si>
    <t>https://morenodiesel.mx/product/602-5403-brazo-limpiabrisas-kenworth-t800-t660-t600-izquierdo-r23102912/</t>
  </si>
  <si>
    <t>DONALDSON</t>
  </si>
  <si>
    <t>P613334</t>
  </si>
  <si>
    <t>FILTRO DE AIRE PRIMARIO</t>
  </si>
  <si>
    <t>https://www.bpartes.com.mx/products/193296?variant=39651870408813&amp;currency=MXN&amp;utm_medium=product_sync&amp;utm_source=google&amp;utm_content=sag_organic&amp;utm_campaign=sag_organic&amp;gad_source=1&amp;gclid=Cj0KCQjwxeyxBhC7ARIsAC7dS389CJ4-LTYbqhaV3y0_tbYZQSOPJIiGkFWZrE36GJ6RDu12SL8adskaAuqOEALw_wcB</t>
  </si>
  <si>
    <t>P613335</t>
  </si>
  <si>
    <t>FILTRO DE AIRE SECUNDARIO</t>
  </si>
  <si>
    <t>https://www.bpartes.com.mx/products/292022</t>
  </si>
  <si>
    <t>400401-00093</t>
  </si>
  <si>
    <t>FILTRO DE AIRE INTERIOR</t>
  </si>
  <si>
    <t>https://www.blibli.com/p/doosan-filter-airinner-parts-400401-00093/ps--KOP-60040-00212</t>
  </si>
  <si>
    <t>400401-00304</t>
  </si>
  <si>
    <t>FILTRO DE AIRE</t>
  </si>
  <si>
    <t>FLEETGUARD</t>
  </si>
  <si>
    <t>AF26268</t>
  </si>
  <si>
    <t>https://www.bpartes.com.mx/products/147010</t>
  </si>
  <si>
    <t>FLEETRITE</t>
  </si>
  <si>
    <t>https://www.bpartes.com.mx/products/601167</t>
  </si>
  <si>
    <t>JOHN DEERE</t>
  </si>
  <si>
    <t>AT201036</t>
  </si>
  <si>
    <t>https://www.cadeco.com.mx/filtro-de-aire-jhoat201036/p</t>
  </si>
  <si>
    <t>400401-00094</t>
  </si>
  <si>
    <t>FILTRO DE AIRE EXTERIOR</t>
  </si>
  <si>
    <t>https://renusa.pe/product/filtro-aire-secundario-doosan-dx300-400401-00094-474-00037/</t>
  </si>
  <si>
    <t>DNP610260</t>
  </si>
  <si>
    <t>FILRTRO DE AIRE FREIGHTLINER CASCADIA</t>
  </si>
  <si>
    <t>18,19,20</t>
  </si>
  <si>
    <t>https://articulo.mercadolibre.com.mx/MLM-2001445611-filtro-de-aire-dnp610260-para-freightliner-cascadia-2008-17-_JM</t>
  </si>
  <si>
    <t>FAG</t>
  </si>
  <si>
    <t>22318-E1-XL</t>
  </si>
  <si>
    <t>BALERO DE CRIBA</t>
  </si>
  <si>
    <t>CRIBA</t>
  </si>
  <si>
    <t>https://www.google.com/aclk?sa=l&amp;ai=DChcSEwilzbfA2f6FAxVnS38AHdY_CBsYABABGgJvYQ&amp;ase=2&amp;gclid=Cj0KCQjwxeyxBhC7ARIsAC7dS3__nE4UEj21h6_4LoxOYgOgqSczZGI7hYIUMN8THlRpywZAhdfLueEaAgY3EALw_wcB&amp;sig=AOD64_2kgskyJFnoA3oVeXhgLPpyaxnlDA&amp;ctype=5&amp;q=&amp;nis=4&amp;ved=0ahUKEwj0nbPA2f6FAxXk4ckDHdVHBTIQww8I6wY&amp;adurl=</t>
  </si>
  <si>
    <t>SKF</t>
  </si>
  <si>
    <t>SY 2. TF</t>
  </si>
  <si>
    <t>CHUMACERA DE PISO</t>
  </si>
  <si>
    <t>https://www.google.com/url?url=https://articulo.mercadolibre.com.mx/MLM-2342470502-chumacera-de-piso-sy-2-tf-yar-211-200-2-f-sin-caja-skf-_JM%3Fmatt_tool%3D28238160%26utm_source%3Dgoogle_shopping%26utm_medium%3Dorganic&amp;rct=j&amp;q=&amp;esrc=s&amp;opi=95576897&amp;sa=U&amp;ved=0ahUKEwjPipbO2v6FAxVP78kDHamBCqYQgOUECMQH&amp;usg=AOvVaw2Zz-KbT3PGBmrFcfe7bVP1</t>
  </si>
  <si>
    <t>INTERNATIONAL</t>
  </si>
  <si>
    <t>3595980C4</t>
  </si>
  <si>
    <t xml:space="preserve">BUJE DE SOPORTE DELANTERO </t>
  </si>
  <si>
    <t>https://articulo.mercadolibre.com.mx/MLM-1919757579-buje-soporte-delantero-cabina-international-prostar-_JM?matt_tool=28238160&amp;utm_source=google_shopping&amp;utm_medium=organic</t>
  </si>
  <si>
    <t>7206 BEP</t>
  </si>
  <si>
    <t>RODAMIENTO DE BOLAS</t>
  </si>
  <si>
    <t>NTN</t>
  </si>
  <si>
    <t>6305LU</t>
  </si>
  <si>
    <t>https://articulo.mercadolibre.com.mx/MLM-2696593764-balero-6305-znr-koyo-japones-_JM?matt_tool=93325498&amp;matt_word=&amp;matt_source=google&amp;matt_campaign_id=19652626761&amp;matt_ad_group_id=153098213196&amp;matt_match_type=&amp;matt_network=g&amp;matt_device=c&amp;matt_creative=672484655942&amp;matt_keyword=&amp;matt_ad_position=&amp;matt_ad_type=pla&amp;matt_merchant_id=542290482&amp;matt_product_id=MLM2696593764&amp;matt_product_partition_id=2272199933412&amp;matt_target_id=aud-2038635960613:pla-2272199933412&amp;gad_source=4&amp;gclid=Cj0KCQjwxeyxBhC7ARIsAC7dS3-_wiEdaH8aKPGuF-Nkjz1bEDT7SwQFah_aI7XpijHmGW9RNUQrThYaAsjhEALw_wcB</t>
  </si>
  <si>
    <t>6203LL</t>
  </si>
  <si>
    <t>https://articulo.mercadolibre.com.mx/MLM-1862319403-balero-6203-ll-ntn-_JM?matt_tool=28238160&amp;utm_source=google_shopping&amp;utm_medium=organic</t>
  </si>
  <si>
    <t>CRUCETA</t>
  </si>
  <si>
    <t>PTC</t>
  </si>
  <si>
    <t>PD5-6102X</t>
  </si>
  <si>
    <t>CRUCETA PARA CARDAN TIPO INTERNATIONAL</t>
  </si>
  <si>
    <t>https://www.motorline.mx/MLM-1394974501-cruceta-caterpillar-5-12-mixta-az-6102x-_JM</t>
  </si>
  <si>
    <t>ACP</t>
  </si>
  <si>
    <t>ACP289714</t>
  </si>
  <si>
    <t>VALVULA DE ESCAPE RAPIDO</t>
  </si>
  <si>
    <t>ACP 65437</t>
  </si>
  <si>
    <t>VALVULA DE RESORTE SR-5</t>
  </si>
  <si>
    <t>https://morenodiesel.mx/product/valvula-de-freno-de-resorte-sr-5/</t>
  </si>
  <si>
    <t>ACP60054007</t>
  </si>
  <si>
    <t>VALVULA NIVELADORA PARA SUSPENSION</t>
  </si>
  <si>
    <t>https://morenodiesel.mx/product/valvula-niveladora-neway/</t>
  </si>
  <si>
    <t>MERITOR</t>
  </si>
  <si>
    <t>CP280XZX</t>
  </si>
  <si>
    <t>CRUCETA PARA CARDAN MERITOR</t>
  </si>
  <si>
    <t>https://www.bpartes.com.mx/products/135972</t>
  </si>
  <si>
    <t>AMERICAN BRAKEBLOCK</t>
  </si>
  <si>
    <t>8986-D1758</t>
  </si>
  <si>
    <t>JUGO DE BALATAS DE DISCO</t>
  </si>
  <si>
    <t>https://www.elcamionero.mx/products/8986-d1758-abb</t>
  </si>
  <si>
    <t>PAI</t>
  </si>
  <si>
    <t>JUEGO DE COJINETES</t>
  </si>
  <si>
    <t>CUMMINS</t>
  </si>
  <si>
    <t>LM11910</t>
  </si>
  <si>
    <t>TAZA PARA RODAMIENTO</t>
  </si>
  <si>
    <t>https://listado.mercadolibre.com.mx/rodamientos-timken-lm11910</t>
  </si>
  <si>
    <t>RODAMIENTO CILINDRICO</t>
  </si>
  <si>
    <t>FP DIESEL</t>
  </si>
  <si>
    <t>FP-5149572</t>
  </si>
  <si>
    <t>JUEGO DE COJINETES PARA BIELA</t>
  </si>
  <si>
    <t>https://autorefax.com/refacciones/comprar/metales-de-biela-fp-diesel-fp5149572/199743</t>
  </si>
  <si>
    <t>BENDIX</t>
  </si>
  <si>
    <t>PIEZAS DE RECAMBIO</t>
  </si>
  <si>
    <t>https://www.amazon.com.mx/Bendix-5002741-KIT/dp/B009J05LDI</t>
  </si>
  <si>
    <t>PISTON DE VALVULA PRIMARIA DE FRENO</t>
  </si>
  <si>
    <t>https://www.ebay.com/p/1737288776</t>
  </si>
  <si>
    <t>PISTON DE RELAY</t>
  </si>
  <si>
    <t>https://www.google.com/search?q=BENDIX+290202&amp;sca_esv=abf976e12d8dcb8e&amp;sxsrf=ADLYWILuhWWsPY2q7q6mqyAobrPwZj5JXQ%3A1715275450715&amp;ei=ugY9ZsmhK7z8p84PzMe5-AY&amp;ved=0ahUKEwjJ5rn_ioGGAxU8_skDHcxjDm8Q4dUDCBA&amp;uact=5&amp;oq=BENDIX+290202&amp;gs_lp=Egxnd3Mtd2l6LXNlcnAiDUJFTkRJWCAyOTAyMDIyCBAAGIAEGKIEMggQABiABBiiBDIIEAAYgAQYogRI3SJQpw5Ynh1wAXgAkAEAmAGOAaAB_AWqAQMwLja4AQPIAQD4AQGYAgagAokGwgIEECMYJ8ICBhAAGBYYHsICBRAhGKABmAMAiAYBkgcDMC42oAf8DQ&amp;sclient=gws-wiz-serp</t>
  </si>
  <si>
    <t>REPUESTO MAYOR PARA VALVULA DE PIE E-6</t>
  </si>
  <si>
    <t>https://articulo.mercadolibre.com.mx/MLM-2023573408-289335-repuesto-mayor-valvula-de-pie-e-6-igual-bendix-_JM</t>
  </si>
  <si>
    <t>DIPER DIAMOND PARTS</t>
  </si>
  <si>
    <t>DPE-2769S</t>
  </si>
  <si>
    <t>KIT PARA FRENOS DE AIRE</t>
  </si>
  <si>
    <t>WABCO</t>
  </si>
  <si>
    <t>VALVULA ABS PARA GONDOLA</t>
  </si>
  <si>
    <t>https://articulo.mercadolibre.com.mx/MLM-2023268952-4725001200-valvula-triple-abs-conector-bayonet-wabco-_JM#is_advertising=true&amp;position=1&amp;search_layout=stack&amp;type=pad&amp;tracking_id=8603767b-2f2c-4eec-a932-b0badad2e316&amp;is_advertising=true&amp;ad_domain=VQCATCORE_LST&amp;ad_position=1&amp;ad_click_id=YWRkMmYxMmItZjc4NS00NjNlLTg0NDctM2EzOGVhZTJmODAx</t>
  </si>
  <si>
    <t>VALVULA DE ESTACIONAMIENTO</t>
  </si>
  <si>
    <t>SWICCH</t>
  </si>
  <si>
    <t>VALVULA CEBADORA MANUAL</t>
  </si>
  <si>
    <t>https://www.cadeco.com.mx/bomba-de-combustible-para-motor-1052508/p</t>
  </si>
  <si>
    <t>P552709</t>
  </si>
  <si>
    <t>FILTRO DE COMBUSTIBLE</t>
  </si>
  <si>
    <t>https://autorefax.com/refacciones/comprar/filtro-de-combustible-donaldson-p552709/209964?srsltid=AfmBOoqu1Lc1Xjt2zlms0M9hW6fsII9ejTKJpfKZIvCUcJdGCPH1FCDi67E</t>
  </si>
  <si>
    <t>SAKURA</t>
  </si>
  <si>
    <t>HC-5101</t>
  </si>
  <si>
    <t>FILTRO HIDRAULICO ENROSCABLE</t>
  </si>
  <si>
    <t>https://diagsa.mx/products/hc-5101</t>
  </si>
  <si>
    <t>FS20040</t>
  </si>
  <si>
    <t>SEPARADOR DE COMBUSTIBLE/AGUA</t>
  </si>
  <si>
    <t>https://www.bpartes.com.mx/products/448491</t>
  </si>
  <si>
    <t>https://www.bpartes.com.mx/products/80066</t>
  </si>
  <si>
    <t>FS19591</t>
  </si>
  <si>
    <t>https://www.bpartes.com.mx/products/81081</t>
  </si>
  <si>
    <t>FS1040</t>
  </si>
  <si>
    <t>https://www.bpartes.com.mx/products/57672</t>
  </si>
  <si>
    <t>SFC-5708</t>
  </si>
  <si>
    <t>https://diagsa.mx/products/sfc-5708</t>
  </si>
  <si>
    <t>WC-5705</t>
  </si>
  <si>
    <t>FILTRO PARA ANTICONGELANTE</t>
  </si>
  <si>
    <t>WC-5707</t>
  </si>
  <si>
    <t>https://fyr.com.mx/catalogo/sin%20categor%C3%ADa/wc-5705-wf-filtro-de-agua/</t>
  </si>
  <si>
    <t>FC-6501</t>
  </si>
  <si>
    <t>https://diagsa.mx/products/fc-6501</t>
  </si>
  <si>
    <t>FC-6502</t>
  </si>
  <si>
    <t>https://diagsa.mx/products/fc-6502</t>
  </si>
  <si>
    <t>BALDWIN</t>
  </si>
  <si>
    <t>PF7680</t>
  </si>
  <si>
    <t>https://tienda.arboldeoro.com.mx/products/baldwin-filtro-para-combustible-fs1029-pf7680-g128-p550463-33651</t>
  </si>
  <si>
    <t>HF6710</t>
  </si>
  <si>
    <t>https://www.bpartes.com.mx/products/43011</t>
  </si>
  <si>
    <t>C-7601</t>
  </si>
  <si>
    <t>FILTRO DE ACEITE</t>
  </si>
  <si>
    <t>https://articulo.mercadolibre.com.mx/MLM-1906062845-filtro-de-aceite-c-7601-lf3567-p558329-bt486-51824-gp359-_JM</t>
  </si>
  <si>
    <t>GONHER</t>
  </si>
  <si>
    <t>G-128</t>
  </si>
  <si>
    <t>https://www.mirefaccion.com.mx/products/filtro-gasolina-gonher-g-128</t>
  </si>
  <si>
    <t>GP-1010Q</t>
  </si>
  <si>
    <t>FILTRO DE AGUA</t>
  </si>
  <si>
    <t>https://lubrior.com.mx/?product=gonher-gp-1010q</t>
  </si>
  <si>
    <t>H-5618</t>
  </si>
  <si>
    <t>FILTRO HIDRAULICO DE CARTUCHO</t>
  </si>
  <si>
    <t>https://diagsa.mx/products/h-5618</t>
  </si>
  <si>
    <t>RS4679</t>
  </si>
  <si>
    <t>https://www.cadeco.com.mx/filtro-de-aire-interno-rs4679/p</t>
  </si>
  <si>
    <t>FRAM</t>
  </si>
  <si>
    <t>P1656</t>
  </si>
  <si>
    <t>FILTRO HIDRAULICO</t>
  </si>
  <si>
    <t>https://www.mirefaccion.com.mx/products/filtro-hidraulico-fram-p1656</t>
  </si>
  <si>
    <t>BF1345</t>
  </si>
  <si>
    <t>FILTRO PARA COMBUSTIBLE</t>
  </si>
  <si>
    <t>https://www.ebay.com/itm/284971033709?chn=ps&amp;norover=1&amp;mkevt=1&amp;mkrid=21562-222008-2056-1&amp;mkcid=2&amp;itemid=284971033709&amp;targetid=296227501805&amp;device=c&amp;mktype=pla&amp;googleloc=1010041&amp;poi=&amp;campaignid=19868683663&amp;mkgroupid=145907810526&amp;rlsatarget=pla-296227501805&amp;abcId=&amp;merchantid=101501688&amp;gad_source=1&amp;gclid=CjwKCAjwi_exBhA8EiwA_kU1MgNwpwSlq9seEqvXgpQz_9HTZ-QsMYmwENVexDrjfx7mRHoVPmI8WxoCE1cQAvD_BwE</t>
  </si>
  <si>
    <t>BF1226</t>
  </si>
  <si>
    <t>https://articulo.mercadolibre.com.mx/MLM-914406997-filtro-combustible-cummins-3991350-p550899-baldwin-bf1356-_JM?matt_tool=51857487&amp;matt_word=&amp;matt_source=google&amp;matt_campaign_id=19652626494&amp;matt_ad_group_id=157459413596&amp;matt_match_type=&amp;matt_network=g&amp;matt_device=c&amp;matt_creative=686626414736&amp;matt_keyword=&amp;matt_ad_position=&amp;matt_ad_type=pla&amp;matt_merchant_id=116997380&amp;matt_product_id=MLM914406997&amp;matt_product_partition_id=2267655088709&amp;matt_target_id=aud-2043372783581:pla-2267655088709&amp;gad_source=1&amp;gclid=CjwKCAjwi_exBhA8EiwA_kU1Mj3Ppg9lBiUEdjOiaa6uay8wfjU3rgfXIEaDG_HZ_pmD7LfzUlVgcxoCzVkQAvD_BwE</t>
  </si>
  <si>
    <t>BF7766</t>
  </si>
  <si>
    <t>https://articulo.mercadolibre.com.mx/MLM-915274278-filtro-combustible-cummins-4088272-ff2200-p552200-bf7766-_JM?matt_tool=51857487&amp;matt_word=&amp;matt_source=google&amp;matt_campaign_id=19652626494&amp;matt_ad_group_id=157459413596&amp;matt_match_type=&amp;matt_network=g&amp;matt_device=c&amp;matt_creative=686626414736&amp;matt_keyword=&amp;matt_ad_position=&amp;matt_ad_type=pla&amp;matt_merchant_id=116997380&amp;matt_product_id=MLM915274278&amp;matt_product_partition_id=2267655088709&amp;matt_target_id=aud-2043372783581:pla-2267655088709&amp;gad_source=1&amp;gclid=CjwKCAjwi_exBhA8EiwA_kU1MifyBp7ZgIAqL4W8U-17yAw6mYumuU0eub3dpXeh-6D0SH-DNDBQFBoC2xIQAvD_BwE</t>
  </si>
  <si>
    <t>BF988</t>
  </si>
  <si>
    <t>https://articulo.mercadolibre.com.mx/MLM-1622182719-filtro-combustible-deutz-1180597-volvo-4669875-bf988-ff5052-_JM?matt_tool=51857487&amp;matt_word=&amp;matt_source=google&amp;matt_campaign_id=19652626494&amp;matt_ad_group_id=157459413596&amp;matt_match_type=&amp;matt_network=g&amp;matt_device=c&amp;matt_creative=686626414736&amp;matt_keyword=&amp;matt_ad_position=&amp;matt_ad_type=pla&amp;matt_merchant_id=116997380&amp;matt_product_id=MLM1622182719&amp;matt_product_partition_id=2267655088709&amp;matt_target_id=aud-2043372783581:pla-2267655088709&amp;gad_source=1&amp;gclid=CjwKCAjwi_exBhA8EiwA_kU1MhmtttzHohvRaujuY8Tnv01A2rxCnF1owCU1q6n_71cdkzPaWSKI6BoCKmUQAvD_BwE</t>
  </si>
  <si>
    <t>BW5071</t>
  </si>
  <si>
    <t>https://tienda.arboldeoro.com.mx/products/baldwin-filtro-para-agua-bw5071-gp1010q-p552071</t>
  </si>
  <si>
    <t>BF1205</t>
  </si>
  <si>
    <t>https://tienda.arboldeoro.com.mx/products/baldwin-filtro-para-combustible-bf1205</t>
  </si>
  <si>
    <t>400403-00056</t>
  </si>
  <si>
    <t>400403-00311</t>
  </si>
  <si>
    <t>O-6503</t>
  </si>
  <si>
    <t>https://diagsa.mx/products/o-6503</t>
  </si>
  <si>
    <t>BA5374</t>
  </si>
  <si>
    <t>https://turefa.mercadoshops.com.mx/MLM-912219062-filtro-secador-mb-0004300669-tb1374x-272897-baldwin-ba5374-_JM</t>
  </si>
  <si>
    <t>CTP</t>
  </si>
  <si>
    <t>COJINETE DE BIELA</t>
  </si>
  <si>
    <t>METAL DE BANCADA</t>
  </si>
  <si>
    <t>BALANCIN</t>
  </si>
  <si>
    <t>BUJE DE BIELA</t>
  </si>
  <si>
    <t>SAPPHIRE</t>
  </si>
  <si>
    <t>XS-1334-010</t>
  </si>
  <si>
    <t>CADENA</t>
  </si>
  <si>
    <t>https://www.ebay.com/itm/116176117071?itmmeta=01HXT1KAW8VEMW8QYNEKPDQ66F&amp;hash=item1b0ca2dd4f:g:H4oAAOSwN3FmPPDx</t>
  </si>
  <si>
    <t>LF14000NN</t>
  </si>
  <si>
    <t>FILTRO DE ACEITE DE MOTOR</t>
  </si>
  <si>
    <t>https://www.bpartes.com.mx/products/479358?variant=33156020830317&amp;currency=MXN&amp;utm_medium=product_sync&amp;utm_source=google&amp;utm_content=sag_organic&amp;utm_campaign=sag_organic&amp;gad_source=1&amp;gclid=Cj0KCQjw3ZayBhDRARIsAPWzx8qlVF1C2Fhrv6TV_FgILs61oda3DzzxloCLuK64-sussJJvISqkehMaAp1gEALw_wcB</t>
  </si>
  <si>
    <t>B7030</t>
  </si>
  <si>
    <t>FILTRO DE ACEITE PARA CAMIONES INTERNATIONAL</t>
  </si>
  <si>
    <t>https://tienda.arboldeoro.com.mx/products/baldwin-filtro-para-aceite-gp152-lf3883-ph7138-b7030-p550367-lfp2285</t>
  </si>
  <si>
    <t>P533930</t>
  </si>
  <si>
    <t>https://www.bpartes.com.mx/products/736</t>
  </si>
  <si>
    <t>BF1212</t>
  </si>
  <si>
    <t>https://amsatiendaenlinea.com.mx/products/47515?variant=42437753241768&amp;currency=MXN&amp;utm_medium=product_sync&amp;utm_source=google&amp;utm_content=sag_organic&amp;utm_campaign=sag_organic&amp;gad_source=1&amp;gclid=Cj0KCQjw3ZayBhDRARIsAPWzx8plT-RsFqMZzptqehZ8Ywwrfiq7Zt1kKKrQs2dOCq6ZQyL3klJA6AEaAlyDEALw_wcB</t>
  </si>
  <si>
    <t>BF7629</t>
  </si>
  <si>
    <t>FILTRO SELLADO PARA COMBUSTIBLE</t>
  </si>
  <si>
    <t>https://mctonline.mx/producto/filtro-sellado-para-combustible-baldwin-bf7629/</t>
  </si>
  <si>
    <t>BF7557</t>
  </si>
  <si>
    <t>https://mctonline.mx/producto/filtro-sellado-p-combustible-baldwin-bf7557/</t>
  </si>
  <si>
    <t>PA2726</t>
  </si>
  <si>
    <t>https://www.cadeco.com.mx/filtro-de-aire-pa2726/p</t>
  </si>
  <si>
    <t>FILTRO DE COMBUSTIBLE ROSCADO CON DRENAJE</t>
  </si>
  <si>
    <t>BW5137</t>
  </si>
  <si>
    <t>FILTRO PARA REFRIGERANTE</t>
  </si>
  <si>
    <t>https://www.amazon.com.mx/Baldwin-bw5137-Filtro-para-refrigerante-f%C3%B3rmula/dp/B0015RWCEO</t>
  </si>
  <si>
    <t>BT261</t>
  </si>
  <si>
    <t>FILTRO PARA ACEITE</t>
  </si>
  <si>
    <t>https://tienda.arboldeoro.com.mx/products/baldwin-filtro-para-aceite-bt261-gp61-gp69</t>
  </si>
  <si>
    <t>WIX</t>
  </si>
  <si>
    <t>https://tradilasa.mx/productos/filtro-aceite-51971-wix/</t>
  </si>
  <si>
    <t>P554685</t>
  </si>
  <si>
    <t>https://www.bpartes.com.mx/products/189632?variant=39651863199853&amp;currency=MXN&amp;utm_medium=product_sync&amp;utm_source=google&amp;utm_content=sag_organic&amp;utm_campaign=sag_organic&amp;gad_source=1&amp;gclid=Cj0KCQjw3ZayBhDRARIsAPWzx8oxlHFZ8WXEo7FaZsNRiaCM1AkY3yjiNvZOwPsZje0oq6FQ1Nrvt8EaAgxkEALw_wcB</t>
  </si>
  <si>
    <t>VALVULA DE BYPASS DE ENFRIADO DE ACEITE</t>
  </si>
  <si>
    <t>https://www.dieselpartscenter.com/bypass-valve-genuine-pai-181880.html</t>
  </si>
  <si>
    <t>DEVELON</t>
  </si>
  <si>
    <t>401107-02428</t>
  </si>
  <si>
    <t>SELLO PARA FILTRO DE ACEITE</t>
  </si>
  <si>
    <t>401003-00798</t>
  </si>
  <si>
    <t>RETEN DE ACEITE CON LABIO SELLADOR</t>
  </si>
  <si>
    <t>FEDERAL MOGUL</t>
  </si>
  <si>
    <t>Y4874RX</t>
  </si>
  <si>
    <t>RETEN PARA TRANSMISION</t>
  </si>
  <si>
    <t>NATIONAL OIL SEALS</t>
  </si>
  <si>
    <t>376590A</t>
  </si>
  <si>
    <t>RETEN</t>
  </si>
  <si>
    <t>https://articulo.mercadolibre.com.mx/MLM-2023221431-reten-national-oil-seals-376590a-_JM</t>
  </si>
  <si>
    <t>401107-02242</t>
  </si>
  <si>
    <t>KIT DE SELLOS CILINDRICOS DOOSAN</t>
  </si>
  <si>
    <t>NOMBRE</t>
  </si>
  <si>
    <t>ID (SSID)</t>
  </si>
  <si>
    <t>LOCACION</t>
  </si>
  <si>
    <t>MAC</t>
  </si>
  <si>
    <t>IP INICIAL</t>
  </si>
  <si>
    <t>IP PLANEADA</t>
  </si>
  <si>
    <t>MODELO</t>
  </si>
  <si>
    <t>USUARIO (ADMIN)</t>
  </si>
  <si>
    <t>PWD INICIAL</t>
  </si>
  <si>
    <t>PWD ACTUAL</t>
  </si>
  <si>
    <t>ANTENA STARLINK</t>
  </si>
  <si>
    <t>INTERNET</t>
  </si>
  <si>
    <t>STARLINK</t>
  </si>
  <si>
    <t>OFICINA</t>
  </si>
  <si>
    <t>192.168.1.1</t>
  </si>
  <si>
    <t>ROUTER GRANDSTREAM</t>
  </si>
  <si>
    <t>ROUTER</t>
  </si>
  <si>
    <t>GRANDSTREAM</t>
  </si>
  <si>
    <t>C074ADFED9E7</t>
  </si>
  <si>
    <t>192.168.1.102</t>
  </si>
  <si>
    <t>GWN7801P</t>
  </si>
  <si>
    <t>Router de frente a internet por Starlink</t>
  </si>
  <si>
    <t>admin</t>
  </si>
  <si>
    <t>khtUQHa5</t>
  </si>
  <si>
    <t>AP TP-LINK</t>
  </si>
  <si>
    <t>GMF_fundicion</t>
  </si>
  <si>
    <t>TP-LINK</t>
  </si>
  <si>
    <t>192.168.1.104</t>
  </si>
  <si>
    <t>AP GRANDSTREAM</t>
  </si>
  <si>
    <t>GMF_RADIO BASE 1</t>
  </si>
  <si>
    <t>C074ADF8F5DC</t>
  </si>
  <si>
    <t>192.168.1.113</t>
  </si>
  <si>
    <t>192.168.1.103</t>
  </si>
  <si>
    <t>GWN7605LR</t>
  </si>
  <si>
    <t xml:space="preserve">Antena wifi de largo alcance </t>
  </si>
  <si>
    <t>JEyrBMB6</t>
  </si>
  <si>
    <t>Grupominero2024@</t>
  </si>
  <si>
    <t>DVR 16CH</t>
  </si>
  <si>
    <t>GMF_DVR</t>
  </si>
  <si>
    <t>EPCOM</t>
  </si>
  <si>
    <t>192.168.1.107</t>
  </si>
  <si>
    <t>DVR 8CH</t>
  </si>
  <si>
    <t>GMF_IPDVR1</t>
  </si>
  <si>
    <t>PRODUCCION</t>
  </si>
  <si>
    <t>192.168.1.109</t>
  </si>
  <si>
    <t>DVR 4CH</t>
  </si>
  <si>
    <t>GMF_IPDVR2</t>
  </si>
  <si>
    <t>CASA</t>
  </si>
  <si>
    <t>192.168.1.108</t>
  </si>
  <si>
    <t>EXT_produccion</t>
  </si>
  <si>
    <t>EXT_casa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</si>
</sst>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Lexend"/>
    </font>
    <font>
      <sz val="10"/>
      <color theme="1"/>
      <name val="Lexend"/>
    </font>
    <font>
      <sz val="10"/>
      <color rgb="FFFFFFFF"/>
      <name val="Lexend"/>
    </font>
    <font>
      <sz val="11"/>
      <color rgb="FF000000"/>
      <name val="Arial"/>
    </font>
    <font>
      <u/>
      <sz val="10"/>
      <color rgb="FF0000FF"/>
      <name val="Arial"/>
    </font>
    <font>
      <b/>
      <sz val="31"/>
      <color theme="1"/>
      <name val="Arial"/>
      <scheme val="minor"/>
    </font>
    <font>
      <b/>
      <sz val="24"/>
      <color theme="1"/>
      <name val="Arial"/>
      <scheme val="minor"/>
    </font>
    <font>
      <sz val="12"/>
      <color theme="1"/>
      <name val="Roboto"/>
    </font>
    <font>
      <sz val="12"/>
      <color rgb="FF434343"/>
      <name val="Arial"/>
      <scheme val="minor"/>
    </font>
    <font>
      <sz val="12"/>
      <color rgb="FF1F1F1F"/>
      <name val="Roboto"/>
    </font>
    <font>
      <sz val="12"/>
      <color theme="1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i/>
      <sz val="10"/>
      <color theme="1"/>
      <name val="Arial"/>
      <scheme val="minor"/>
    </font>
    <font>
      <sz val="12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EFEF95"/>
        <bgColor rgb="FFEFEF95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7F6000"/>
        <bgColor rgb="FF7F6000"/>
      </patternFill>
    </fill>
    <fill>
      <patternFill patternType="solid">
        <fgColor rgb="FFFFF4BB"/>
        <bgColor rgb="FFFFF4BB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2" fillId="0" borderId="6" xfId="0" applyFont="1" applyBorder="1" applyAlignment="1"/>
    <xf numFmtId="0" fontId="2" fillId="2" borderId="6" xfId="0" applyFont="1" applyFill="1" applyBorder="1" applyAlignment="1"/>
    <xf numFmtId="0" fontId="1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4" fillId="0" borderId="9" xfId="0" applyFont="1" applyBorder="1" applyAlignment="1"/>
    <xf numFmtId="0" fontId="4" fillId="0" borderId="0" xfId="0" applyFont="1"/>
    <xf numFmtId="0" fontId="4" fillId="0" borderId="10" xfId="0" applyFont="1" applyBorder="1"/>
    <xf numFmtId="0" fontId="1" fillId="0" borderId="11" xfId="0" applyFont="1" applyBorder="1" applyAlignment="1"/>
    <xf numFmtId="0" fontId="1" fillId="2" borderId="11" xfId="0" applyFont="1" applyFill="1" applyBorder="1" applyAlignment="1"/>
    <xf numFmtId="0" fontId="1" fillId="0" borderId="11" xfId="0" applyFont="1" applyBorder="1"/>
    <xf numFmtId="0" fontId="1" fillId="0" borderId="9" xfId="0" applyFont="1" applyBorder="1" applyAlignment="1"/>
    <xf numFmtId="0" fontId="1" fillId="0" borderId="10" xfId="0" applyFont="1" applyBorder="1"/>
    <xf numFmtId="0" fontId="5" fillId="3" borderId="9" xfId="0" applyFont="1" applyFill="1" applyBorder="1" applyAlignment="1"/>
    <xf numFmtId="0" fontId="5" fillId="3" borderId="0" xfId="0" applyFont="1" applyFill="1" applyAlignment="1"/>
    <xf numFmtId="0" fontId="5" fillId="3" borderId="10" xfId="0" applyFont="1" applyFill="1" applyBorder="1"/>
    <xf numFmtId="0" fontId="5" fillId="4" borderId="9" xfId="0" applyFont="1" applyFill="1" applyBorder="1" applyAlignment="1"/>
    <xf numFmtId="0" fontId="5" fillId="4" borderId="0" xfId="0" applyFont="1" applyFill="1"/>
    <xf numFmtId="0" fontId="5" fillId="4" borderId="0" xfId="0" applyFont="1" applyFill="1" applyAlignment="1"/>
    <xf numFmtId="0" fontId="5" fillId="4" borderId="10" xfId="0" applyFont="1" applyFill="1" applyBorder="1"/>
    <xf numFmtId="0" fontId="1" fillId="0" borderId="10" xfId="0" applyFont="1" applyBorder="1" applyAlignment="1"/>
    <xf numFmtId="0" fontId="4" fillId="5" borderId="9" xfId="0" applyFont="1" applyFill="1" applyBorder="1" applyAlignment="1"/>
    <xf numFmtId="0" fontId="4" fillId="5" borderId="0" xfId="0" applyFont="1" applyFill="1" applyAlignment="1"/>
    <xf numFmtId="0" fontId="4" fillId="5" borderId="10" xfId="0" applyFont="1" applyFill="1" applyBorder="1"/>
    <xf numFmtId="0" fontId="1" fillId="0" borderId="9" xfId="0" applyFont="1" applyBorder="1"/>
    <xf numFmtId="0" fontId="5" fillId="6" borderId="9" xfId="0" applyFont="1" applyFill="1" applyBorder="1" applyAlignment="1"/>
    <xf numFmtId="0" fontId="5" fillId="6" borderId="0" xfId="0" applyFont="1" applyFill="1" applyAlignment="1"/>
    <xf numFmtId="0" fontId="5" fillId="6" borderId="10" xfId="0" applyFont="1" applyFill="1" applyBorder="1"/>
    <xf numFmtId="0" fontId="4" fillId="7" borderId="9" xfId="0" applyFont="1" applyFill="1" applyBorder="1" applyAlignment="1"/>
    <xf numFmtId="0" fontId="4" fillId="7" borderId="0" xfId="0" applyFont="1" applyFill="1" applyAlignment="1"/>
    <xf numFmtId="0" fontId="4" fillId="7" borderId="10" xfId="0" applyFont="1" applyFill="1" applyBorder="1"/>
    <xf numFmtId="0" fontId="4" fillId="8" borderId="9" xfId="0" applyFont="1" applyFill="1" applyBorder="1" applyAlignment="1"/>
    <xf numFmtId="0" fontId="4" fillId="8" borderId="0" xfId="0" applyFont="1" applyFill="1" applyAlignment="1"/>
    <xf numFmtId="0" fontId="4" fillId="8" borderId="10" xfId="0" applyFont="1" applyFill="1" applyBorder="1"/>
    <xf numFmtId="0" fontId="4" fillId="9" borderId="9" xfId="0" applyFont="1" applyFill="1" applyBorder="1" applyAlignment="1"/>
    <xf numFmtId="0" fontId="4" fillId="9" borderId="0" xfId="0" applyFont="1" applyFill="1" applyAlignment="1"/>
    <xf numFmtId="0" fontId="4" fillId="9" borderId="10" xfId="0" applyFont="1" applyFill="1" applyBorder="1" applyAlignment="1"/>
    <xf numFmtId="0" fontId="1" fillId="0" borderId="12" xfId="0" applyFont="1" applyBorder="1" applyAlignment="1"/>
    <xf numFmtId="0" fontId="1" fillId="0" borderId="12" xfId="0" applyFont="1" applyBorder="1"/>
    <xf numFmtId="0" fontId="4" fillId="0" borderId="0" xfId="0" applyFont="1" applyAlignment="1"/>
    <xf numFmtId="0" fontId="4" fillId="5" borderId="10" xfId="0" applyFont="1" applyFill="1" applyBorder="1" applyAlignment="1"/>
    <xf numFmtId="0" fontId="4" fillId="10" borderId="9" xfId="0" applyFont="1" applyFill="1" applyBorder="1" applyAlignment="1"/>
    <xf numFmtId="0" fontId="4" fillId="10" borderId="0" xfId="0" applyFont="1" applyFill="1" applyAlignment="1"/>
    <xf numFmtId="0" fontId="4" fillId="10" borderId="0" xfId="0" applyFont="1" applyFill="1"/>
    <xf numFmtId="0" fontId="4" fillId="10" borderId="10" xfId="0" applyFont="1" applyFill="1" applyBorder="1" applyAlignment="1"/>
    <xf numFmtId="0" fontId="1" fillId="2" borderId="12" xfId="0" applyFont="1" applyFill="1" applyBorder="1" applyAlignment="1"/>
    <xf numFmtId="0" fontId="1" fillId="2" borderId="0" xfId="0" applyFont="1" applyFill="1" applyAlignment="1"/>
    <xf numFmtId="0" fontId="4" fillId="11" borderId="9" xfId="0" applyFont="1" applyFill="1" applyBorder="1" applyAlignment="1"/>
    <xf numFmtId="0" fontId="4" fillId="11" borderId="0" xfId="0" applyFont="1" applyFill="1" applyAlignment="1"/>
    <xf numFmtId="0" fontId="4" fillId="11" borderId="10" xfId="0" applyFont="1" applyFill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14" xfId="0" applyFont="1" applyBorder="1"/>
    <xf numFmtId="0" fontId="4" fillId="0" borderId="15" xfId="0" applyFont="1" applyBorder="1"/>
    <xf numFmtId="0" fontId="1" fillId="0" borderId="13" xfId="0" applyFont="1" applyBorder="1" applyAlignment="1"/>
    <xf numFmtId="0" fontId="1" fillId="0" borderId="15" xfId="0" applyFont="1" applyBorder="1" applyAlignment="1"/>
    <xf numFmtId="164" fontId="1" fillId="0" borderId="0" xfId="0" applyNumberFormat="1" applyFont="1" applyAlignment="1"/>
    <xf numFmtId="0" fontId="1" fillId="12" borderId="0" xfId="0" applyFont="1" applyFill="1" applyAlignment="1"/>
    <xf numFmtId="0" fontId="1" fillId="8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4" fillId="3" borderId="9" xfId="0" applyFont="1" applyFill="1" applyBorder="1" applyAlignment="1"/>
    <xf numFmtId="0" fontId="4" fillId="3" borderId="0" xfId="0" applyFont="1" applyFill="1" applyAlignment="1"/>
    <xf numFmtId="0" fontId="4" fillId="3" borderId="10" xfId="0" applyFont="1" applyFill="1" applyBorder="1"/>
    <xf numFmtId="0" fontId="4" fillId="13" borderId="9" xfId="0" applyFont="1" applyFill="1" applyBorder="1" applyAlignment="1"/>
    <xf numFmtId="0" fontId="4" fillId="13" borderId="0" xfId="0" applyFont="1" applyFill="1" applyAlignment="1"/>
    <xf numFmtId="0" fontId="4" fillId="13" borderId="10" xfId="0" applyFont="1" applyFill="1" applyBorder="1"/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19" xfId="0" applyFont="1" applyBorder="1" applyAlignment="1">
      <alignment vertical="center"/>
    </xf>
    <xf numFmtId="0" fontId="1" fillId="14" borderId="20" xfId="0" applyFont="1" applyFill="1" applyBorder="1" applyAlignment="1">
      <alignment vertical="top" wrapText="1"/>
    </xf>
    <xf numFmtId="0" fontId="12" fillId="0" borderId="2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14" borderId="21" xfId="0" applyFont="1" applyFill="1" applyBorder="1" applyAlignment="1">
      <alignment horizontal="left" vertical="top" wrapText="1"/>
    </xf>
    <xf numFmtId="0" fontId="11" fillId="0" borderId="22" xfId="0" applyFont="1" applyBorder="1" applyAlignment="1">
      <alignment horizontal="left" vertical="center" wrapText="1"/>
    </xf>
    <xf numFmtId="0" fontId="1" fillId="14" borderId="20" xfId="0" applyFont="1" applyFill="1" applyBorder="1" applyAlignment="1">
      <alignment vertical="top" wrapText="1"/>
    </xf>
    <xf numFmtId="0" fontId="12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2" fillId="0" borderId="2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" fillId="14" borderId="21" xfId="0" applyFont="1" applyFill="1" applyBorder="1" applyAlignment="1">
      <alignment horizontal="left" vertical="top" wrapText="1"/>
    </xf>
    <xf numFmtId="0" fontId="11" fillId="0" borderId="22" xfId="0" applyFont="1" applyBorder="1" applyAlignment="1">
      <alignment vertical="center"/>
    </xf>
    <xf numFmtId="0" fontId="1" fillId="14" borderId="23" xfId="0" applyFont="1" applyFill="1" applyBorder="1" applyAlignment="1">
      <alignment vertical="top" wrapText="1"/>
    </xf>
    <xf numFmtId="0" fontId="12" fillId="0" borderId="23" xfId="0" applyFont="1" applyBorder="1" applyAlignment="1">
      <alignment horizontal="left" vertical="center" wrapText="1"/>
    </xf>
    <xf numFmtId="0" fontId="1" fillId="14" borderId="24" xfId="0" applyFont="1" applyFill="1" applyBorder="1" applyAlignment="1">
      <alignment horizontal="left" vertical="top" wrapText="1"/>
    </xf>
    <xf numFmtId="0" fontId="11" fillId="0" borderId="19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" fillId="14" borderId="20" xfId="0" applyFont="1" applyFill="1" applyBorder="1" applyAlignment="1">
      <alignment horizontal="left" vertical="top" wrapText="1"/>
    </xf>
    <xf numFmtId="0" fontId="11" fillId="0" borderId="22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" fillId="14" borderId="26" xfId="0" applyFont="1" applyFill="1" applyBorder="1" applyAlignment="1">
      <alignment vertical="top" wrapText="1"/>
    </xf>
    <xf numFmtId="0" fontId="12" fillId="0" borderId="2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14" borderId="28" xfId="0" applyFont="1" applyFill="1" applyBorder="1" applyAlignment="1">
      <alignment horizontal="left" vertical="top" wrapText="1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0" xfId="0" applyFont="1"/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6" fillId="14" borderId="20" xfId="0" applyFont="1" applyFill="1" applyBorder="1" applyAlignment="1">
      <alignment horizontal="left" vertical="center"/>
    </xf>
    <xf numFmtId="0" fontId="1" fillId="0" borderId="25" xfId="0" applyFont="1" applyBorder="1" applyAlignment="1">
      <alignment vertical="center"/>
    </xf>
    <xf numFmtId="49" fontId="1" fillId="0" borderId="27" xfId="0" applyNumberFormat="1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2" fillId="0" borderId="29" xfId="0" applyFont="1" applyBorder="1" applyAlignment="1"/>
    <xf numFmtId="0" fontId="2" fillId="0" borderId="30" xfId="0" applyFont="1" applyBorder="1" applyAlignment="1"/>
    <xf numFmtId="0" fontId="1" fillId="0" borderId="31" xfId="0" applyFont="1" applyBorder="1" applyAlignment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 applyAlignment="1"/>
    <xf numFmtId="0" fontId="1" fillId="0" borderId="34" xfId="0" applyFont="1" applyBorder="1" applyAlignment="1"/>
    <xf numFmtId="0" fontId="1" fillId="0" borderId="33" xfId="0" applyFont="1" applyBorder="1"/>
    <xf numFmtId="0" fontId="1" fillId="0" borderId="34" xfId="0" applyFont="1" applyBorder="1"/>
    <xf numFmtId="0" fontId="20" fillId="0" borderId="33" xfId="0" applyFont="1" applyBorder="1" applyAlignment="1"/>
    <xf numFmtId="0" fontId="1" fillId="0" borderId="29" xfId="0" applyFont="1" applyBorder="1" applyAlignment="1"/>
    <xf numFmtId="0" fontId="1" fillId="0" borderId="29" xfId="0" applyFont="1" applyBorder="1"/>
    <xf numFmtId="0" fontId="1" fillId="0" borderId="30" xfId="0" applyFont="1" applyBorder="1"/>
  </cellXfs>
  <cellStyles count="1"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Flotilla 1-style" pivot="0" count="4">
      <tableStyleElement type="wholeTable" size="0"/>
      <tableStyleElement type="headerRow" dxfId="8"/>
      <tableStyleElement type="firstRowStripe" dxfId="7"/>
      <tableStyleElement type="secondRowStripe" dxfId="6"/>
    </tableStyle>
    <tableStyle name="existencia-style" pivot="0" count="4">
      <tableStyleElement type="wholeTable" size="0"/>
      <tableStyleElement type="headerRow" dxfId="5"/>
      <tableStyleElement type="firstRowStripe" dxfId="4"/>
      <tableStyleElement type="secondRowStripe" dxfId="3"/>
    </tableStyle>
    <tableStyle name="existencia.old-style" pivot="0" count="4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" displayName="Table2" ref="A1:G33">
  <autoFilter ref="A1:G33"/>
  <tableColumns count="7">
    <tableColumn id="1" name="Unidad"/>
    <tableColumn id="2" name="Grupo"/>
    <tableColumn id="3" name="Descripción"/>
    <tableColumn id="4" name="Intensidad de Uso"/>
    <tableColumn id="5" name="Costo Servicio"/>
    <tableColumn id="6" name="Último Servicio"/>
    <tableColumn id="7" name="Chofer"/>
  </tableColumns>
  <tableStyleInfo name="Flotilla 1-style" showFirstColumn="1" showLastColumn="1" showRowStripes="1" showColumnStripes="0"/>
</table>
</file>

<file path=xl/tables/table2.xml><?xml version="1.0" encoding="utf-8"?>
<table xmlns="http://schemas.openxmlformats.org/spreadsheetml/2006/main" id="2" name="Herramienta" displayName="Herramienta" ref="A1:J93">
  <tableColumns count="10">
    <tableColumn id="1" name="CANTIDAD"/>
    <tableColumn id="2" name="UNIDAD"/>
    <tableColumn id="3" name="MARCA"/>
    <tableColumn id="4" name="SKU"/>
    <tableColumn id="5" name="CATEGORIA"/>
    <tableColumn id="6" name="DESCRIPCIÓN"/>
    <tableColumn id="7" name="UBICACIÓN"/>
    <tableColumn id="8" name="RESPONSABLE"/>
    <tableColumn id="9" name="COSTO"/>
    <tableColumn id="10" name="LINK"/>
  </tableColumns>
  <tableStyleInfo name="existencia-style" showFirstColumn="1" showLastColumn="1" showRowStripes="1" showColumnStripes="0"/>
</table>
</file>

<file path=xl/tables/table3.xml><?xml version="1.0" encoding="utf-8"?>
<table xmlns="http://schemas.openxmlformats.org/spreadsheetml/2006/main" id="3" name="Table1" displayName="Table1" ref="A1:G93">
  <tableColumns count="7">
    <tableColumn id="1" name="CANTIDAD"/>
    <tableColumn id="2" name="MARCA"/>
    <tableColumn id="3" name="SKU"/>
    <tableColumn id="4" name="DESCRIPCIÓN"/>
    <tableColumn id="5" name="COSTO"/>
    <tableColumn id="6" name="UNIDAD"/>
    <tableColumn id="7" name="LINK"/>
  </tableColumns>
  <tableStyleInfo name="existencia.ol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culo.mercadolibre.com.mx/MLM-1457923008-espiga-rapida-para-valvula-inflado-llantero-2-pza-_JM" TargetMode="External"/><Relationship Id="rId3" Type="http://schemas.openxmlformats.org/officeDocument/2006/relationships/hyperlink" Target="https://www.mercadolibre.com.mx/parches-vermar-radiales-svr14-universo-15pzs/up/MLMU463835711" TargetMode="External"/><Relationship Id="rId7" Type="http://schemas.openxmlformats.org/officeDocument/2006/relationships/hyperlink" Target="https://www.mercadolibre.com.mx/carda-copa-grano-36-para-raspado-reparacion-de-llantas-color-bronce/p/MLM46813938?searchVariation=MLM46813938" TargetMode="External"/><Relationship Id="rId2" Type="http://schemas.openxmlformats.org/officeDocument/2006/relationships/hyperlink" Target="https://www.mercadolibre.com.mx/amoladora-neumatica-juego-de-mototool-mini-taladro-esmeril-con-accesorios-mototool-de-aire-esmeriladora-neumatica-profesional-para-pulir-lijar-perforar-cortar-grabar-bowoshen/p/MLM36240478" TargetMode="External"/><Relationship Id="rId1" Type="http://schemas.openxmlformats.org/officeDocument/2006/relationships/hyperlink" Target="https://articulo.mercadolibre.com.mx/MLM-1447563193-monta-valvulas-sacapivote-para-valvulas-carretilla-para-_JM" TargetMode="External"/><Relationship Id="rId6" Type="http://schemas.openxmlformats.org/officeDocument/2006/relationships/hyperlink" Target="https://www.mercadolibre.com.mx/carda-cazuela-con-adaptador-para-mototool-1-pza/up/MLMU524292927" TargetMode="External"/><Relationship Id="rId5" Type="http://schemas.openxmlformats.org/officeDocument/2006/relationships/hyperlink" Target="https://www.mercadolibre.com.mx/lubricante-lubrivermar-para-montar-llantas-y-camaras/up/MLMU524627075" TargetMode="External"/><Relationship Id="rId4" Type="http://schemas.openxmlformats.org/officeDocument/2006/relationships/hyperlink" Target="https://www.mercadolibre.com.mx/cemento--rema-tiptop-650-ml-para-vulcanizado-en-frio/up/MLMU538639223" TargetMode="External"/><Relationship Id="rId9" Type="http://schemas.openxmlformats.org/officeDocument/2006/relationships/hyperlink" Target="https://articulo.mercadolibre.com.mx/MLM-3345342192-desmontadora-manual-para-llantas-rin-8-a-24-cambio-de-llanta-_J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ay.com/p/1737288776" TargetMode="External"/><Relationship Id="rId21" Type="http://schemas.openxmlformats.org/officeDocument/2006/relationships/hyperlink" Target="https://www.elcamionero.mx/products/8986-d1758-abb" TargetMode="External"/><Relationship Id="rId42" Type="http://schemas.openxmlformats.org/officeDocument/2006/relationships/hyperlink" Target="https://tienda.arboldeoro.com.mx/products/baldwin-filtro-para-combustible-fs1029-pf7680-g128-p550463-33651" TargetMode="External"/><Relationship Id="rId47" Type="http://schemas.openxmlformats.org/officeDocument/2006/relationships/hyperlink" Target="https://diagsa.mx/products/h-5618" TargetMode="External"/><Relationship Id="rId63" Type="http://schemas.openxmlformats.org/officeDocument/2006/relationships/hyperlink" Target="https://mctonline.mx/producto/filtro-sellado-para-combustible-baldwin-bf7629/" TargetMode="External"/><Relationship Id="rId68" Type="http://schemas.openxmlformats.org/officeDocument/2006/relationships/hyperlink" Target="https://tienda.arboldeoro.com.mx/products/baldwin-filtro-para-aceite-bt261-gp61-gp69" TargetMode="External"/><Relationship Id="rId2" Type="http://schemas.openxmlformats.org/officeDocument/2006/relationships/hyperlink" Target="https://spanish.alibaba.com/p-detail/120501-00124-1600938543716.html?spm=a2700.galleryofferlist.normal_offer.d_title.1b8e4c8dU9Sb7X" TargetMode="External"/><Relationship Id="rId16" Type="http://schemas.openxmlformats.org/officeDocument/2006/relationships/hyperlink" Target="https://articulo.mercadolibre.com.mx/MLM-1862319403-balero-6203-ll-ntn-_JM?matt_tool=28238160&amp;utm_source=google_shopping&amp;utm_medium=organic" TargetMode="External"/><Relationship Id="rId29" Type="http://schemas.openxmlformats.org/officeDocument/2006/relationships/hyperlink" Target="https://articulo.mercadolibre.com.mx/MLM-2023268952-4725001200-valvula-triple-abs-conector-bayonet-wabco-_JM" TargetMode="External"/><Relationship Id="rId11" Type="http://schemas.openxmlformats.org/officeDocument/2006/relationships/hyperlink" Target="https://articulo.mercadolibre.com.mx/MLM-2001445611-filtro-de-aire-dnp610260-para-freightliner-cascadia-2008-17-_JM" TargetMode="External"/><Relationship Id="rId24" Type="http://schemas.openxmlformats.org/officeDocument/2006/relationships/hyperlink" Target="https://autorefax.com/refacciones/comprar/metales-de-biela-fp-diesel-fp5149572/199743" TargetMode="External"/><Relationship Id="rId32" Type="http://schemas.openxmlformats.org/officeDocument/2006/relationships/hyperlink" Target="https://diagsa.mx/products/hc-5101" TargetMode="External"/><Relationship Id="rId37" Type="http://schemas.openxmlformats.org/officeDocument/2006/relationships/hyperlink" Target="https://www.bpartes.com.mx/products/81081" TargetMode="External"/><Relationship Id="rId40" Type="http://schemas.openxmlformats.org/officeDocument/2006/relationships/hyperlink" Target="https://diagsa.mx/products/fc-6501" TargetMode="External"/><Relationship Id="rId45" Type="http://schemas.openxmlformats.org/officeDocument/2006/relationships/hyperlink" Target="https://www.mirefaccion.com.mx/products/filtro-gasolina-gonher-g-128" TargetMode="External"/><Relationship Id="rId53" Type="http://schemas.openxmlformats.org/officeDocument/2006/relationships/hyperlink" Target="https://articulo.mercadolibre.com.mx/MLM-1622182719-filtro-combustible-deutz-1180597-volvo-4669875-bf988-ff5052-_JM?matt_tool=51857487&amp;matt_word=&amp;matt_source=google&amp;matt_campaign_id=19652626494&amp;matt_ad_group_id=157459413596&amp;matt_match_type=&amp;matt_network=g&amp;matt_device=c&amp;matt_creative=686626414736&amp;matt_keyword=&amp;matt_ad_position=&amp;matt_ad_type=pla&amp;matt_merchant_id=116997380&amp;matt_product_id=MLM1622182719&amp;matt_product_partition_id=2267655088709&amp;matt_target_id=aud-2043372783581:pla-2267655088709&amp;gad_source=1&amp;gclid=CjwKCAjwi_exBhA8EiwA_kU1MhmtttzHohvRaujuY8Tnv01A2rxCnF1owCU1q6n_71cdkzPaWSKI6BoCKmUQAvD_BwE" TargetMode="External"/><Relationship Id="rId58" Type="http://schemas.openxmlformats.org/officeDocument/2006/relationships/hyperlink" Target="https://www.ebay.com/itm/116176117071?itmmeta=01HXT1KAW8VEMW8QYNEKPDQ66F&amp;hash=item1b0ca2dd4f:g:H4oAAOSwN3FmPPDx" TargetMode="External"/><Relationship Id="rId66" Type="http://schemas.openxmlformats.org/officeDocument/2006/relationships/hyperlink" Target="https://tienda.arboldeoro.com.mx/products/baldwin-filtro-para-combustible-bf1205" TargetMode="External"/><Relationship Id="rId5" Type="http://schemas.openxmlformats.org/officeDocument/2006/relationships/hyperlink" Target="https://www.bpartes.com.mx/products/292022" TargetMode="External"/><Relationship Id="rId61" Type="http://schemas.openxmlformats.org/officeDocument/2006/relationships/hyperlink" Target="https://www.bpartes.com.mx/products/736" TargetMode="External"/><Relationship Id="rId19" Type="http://schemas.openxmlformats.org/officeDocument/2006/relationships/hyperlink" Target="https://morenodiesel.mx/product/valvula-niveladora-neway/" TargetMode="External"/><Relationship Id="rId14" Type="http://schemas.openxmlformats.org/officeDocument/2006/relationships/hyperlink" Target="https://articulo.mercadolibre.com.mx/MLM-1919757579-buje-soporte-delantero-cabina-international-prostar-_JM?matt_tool=28238160&amp;utm_source=google_shopping&amp;utm_medium=organic" TargetMode="External"/><Relationship Id="rId22" Type="http://schemas.openxmlformats.org/officeDocument/2006/relationships/hyperlink" Target="https://listado.mercadolibre.com.mx/rodamientos-timken-lm11910" TargetMode="External"/><Relationship Id="rId27" Type="http://schemas.openxmlformats.org/officeDocument/2006/relationships/hyperlink" Target="https://www.google.com/search?q=BENDIX+290202&amp;sca_esv=abf976e12d8dcb8e&amp;sxsrf=ADLYWILuhWWsPY2q7q6mqyAobrPwZj5JXQ%3A1715275450715&amp;ei=ugY9ZsmhK7z8p84PzMe5-AY&amp;ved=0ahUKEwjJ5rn_ioGGAxU8_skDHcxjDm8Q4dUDCBA&amp;uact=5&amp;oq=BENDIX+290202&amp;gs_lp=Egxnd3Mtd2l6LXNlcnAiDUJFTkRJWCAyOTAyMDIyCBAAGIAEGKIEMggQABiABBiiBDIIEAAYgAQYogRI3SJQpw5Ynh1wAXgAkAEAmAGOAaAB_AWqAQMwLja4AQPIAQD4AQGYAgagAokGwgIEECMYJ8ICBhAAGBYYHsICBRAhGKABmAMAiAYBkgcDMC42oAf8DQ&amp;sclient=gws-wiz-serp" TargetMode="External"/><Relationship Id="rId30" Type="http://schemas.openxmlformats.org/officeDocument/2006/relationships/hyperlink" Target="https://www.cadeco.com.mx/bomba-de-combustible-para-motor-1052508/p" TargetMode="External"/><Relationship Id="rId35" Type="http://schemas.openxmlformats.org/officeDocument/2006/relationships/hyperlink" Target="https://www.bpartes.com.mx/products/81081" TargetMode="External"/><Relationship Id="rId43" Type="http://schemas.openxmlformats.org/officeDocument/2006/relationships/hyperlink" Target="https://www.bpartes.com.mx/products/43011" TargetMode="External"/><Relationship Id="rId48" Type="http://schemas.openxmlformats.org/officeDocument/2006/relationships/hyperlink" Target="https://www.cadeco.com.mx/filtro-de-aire-interno-rs4679/p" TargetMode="External"/><Relationship Id="rId56" Type="http://schemas.openxmlformats.org/officeDocument/2006/relationships/hyperlink" Target="https://diagsa.mx/products/o-6503" TargetMode="External"/><Relationship Id="rId64" Type="http://schemas.openxmlformats.org/officeDocument/2006/relationships/hyperlink" Target="https://mctonline.mx/producto/filtro-sellado-p-combustible-baldwin-bf7557/" TargetMode="External"/><Relationship Id="rId69" Type="http://schemas.openxmlformats.org/officeDocument/2006/relationships/hyperlink" Target="https://tradilasa.mx/productos/filtro-aceite-51971-wix/" TargetMode="External"/><Relationship Id="rId8" Type="http://schemas.openxmlformats.org/officeDocument/2006/relationships/hyperlink" Target="https://www.bpartes.com.mx/products/601167" TargetMode="External"/><Relationship Id="rId51" Type="http://schemas.openxmlformats.org/officeDocument/2006/relationships/hyperlink" Target="https://articulo.mercadolibre.com.mx/MLM-914406997-filtro-combustible-cummins-3991350-p550899-baldwin-bf1356-_JM?matt_tool=51857487&amp;matt_word=&amp;matt_source=google&amp;matt_campaign_id=19652626494&amp;matt_ad_group_id=157459413596&amp;matt_match_type=&amp;matt_network=g&amp;matt_device=c&amp;matt_creative=686626414736&amp;matt_keyword=&amp;matt_ad_position=&amp;matt_ad_type=pla&amp;matt_merchant_id=116997380&amp;matt_product_id=MLM914406997&amp;matt_product_partition_id=2267655088709&amp;matt_target_id=aud-2043372783581:pla-2267655088709&amp;gad_source=1&amp;gclid=CjwKCAjwi_exBhA8EiwA_kU1Mj3Ppg9lBiUEdjOiaa6uay8wfjU3rgfXIEaDG_HZ_pmD7LfzUlVgcxoCzVkQAvD_BwE" TargetMode="External"/><Relationship Id="rId72" Type="http://schemas.openxmlformats.org/officeDocument/2006/relationships/hyperlink" Target="https://articulo.mercadolibre.com.mx/MLM-2023221431-reten-national-oil-seals-376590a-_JM" TargetMode="External"/><Relationship Id="rId3" Type="http://schemas.openxmlformats.org/officeDocument/2006/relationships/hyperlink" Target="https://morenodiesel.mx/product/602-5403-brazo-limpiabrisas-kenworth-t800-t660-t600-izquierdo-r23102912/" TargetMode="External"/><Relationship Id="rId12" Type="http://schemas.openxmlformats.org/officeDocument/2006/relationships/hyperlink" Target="https://www.google.com/aclk?sa=l&amp;ai=DChcSEwilzbfA2f6FAxVnS38AHdY_CBsYABABGgJvYQ&amp;ase=2&amp;gclid=Cj0KCQjwxeyxBhC7ARIsAC7dS3__nE4UEj21h6_4LoxOYgOgqSczZGI7hYIUMN8THlRpywZAhdfLueEaAgY3EALw_wcB&amp;sig=AOD64_2kgskyJFnoA3oVeXhgLPpyaxnlDA&amp;ctype=5&amp;q=&amp;nis=4&amp;ved=0ahUKEwj0nbPA2f6FAxXk4ckDHdVHBTIQww8I6wY&amp;adurl=" TargetMode="External"/><Relationship Id="rId17" Type="http://schemas.openxmlformats.org/officeDocument/2006/relationships/hyperlink" Target="https://www.motorline.mx/MLM-1394974501-cruceta-caterpillar-5-12-mixta-az-6102x-_JM" TargetMode="External"/><Relationship Id="rId25" Type="http://schemas.openxmlformats.org/officeDocument/2006/relationships/hyperlink" Target="https://www.amazon.com.mx/Bendix-5002741-KIT/dp/B009J05LDI" TargetMode="External"/><Relationship Id="rId33" Type="http://schemas.openxmlformats.org/officeDocument/2006/relationships/hyperlink" Target="https://www.bpartes.com.mx/products/448491" TargetMode="External"/><Relationship Id="rId38" Type="http://schemas.openxmlformats.org/officeDocument/2006/relationships/hyperlink" Target="https://diagsa.mx/products/sfc-5708" TargetMode="External"/><Relationship Id="rId46" Type="http://schemas.openxmlformats.org/officeDocument/2006/relationships/hyperlink" Target="https://lubrior.com.mx/?product=gonher-gp-1010q" TargetMode="External"/><Relationship Id="rId59" Type="http://schemas.openxmlformats.org/officeDocument/2006/relationships/hyperlink" Target="https://www.bpartes.com.mx/products/479358?variant=33156020830317&amp;currency=MXN&amp;utm_medium=product_sync&amp;utm_source=google&amp;utm_content=sag_organic&amp;utm_campaign=sag_organic&amp;gad_source=1&amp;gclid=Cj0KCQjw3ZayBhDRARIsAPWzx8qlVF1C2Fhrv6TV_FgILs61oda3DzzxloCLuK64-sussJJvISqkehMaAp1gEALw_wcB" TargetMode="External"/><Relationship Id="rId67" Type="http://schemas.openxmlformats.org/officeDocument/2006/relationships/hyperlink" Target="https://www.amazon.com.mx/Baldwin-bw5137-Filtro-para-refrigerante-f%C3%B3rmula/dp/B0015RWCEO" TargetMode="External"/><Relationship Id="rId20" Type="http://schemas.openxmlformats.org/officeDocument/2006/relationships/hyperlink" Target="https://www.bpartes.com.mx/products/135972" TargetMode="External"/><Relationship Id="rId41" Type="http://schemas.openxmlformats.org/officeDocument/2006/relationships/hyperlink" Target="https://diagsa.mx/products/fc-6502" TargetMode="External"/><Relationship Id="rId54" Type="http://schemas.openxmlformats.org/officeDocument/2006/relationships/hyperlink" Target="https://tienda.arboldeoro.com.mx/products/baldwin-filtro-para-agua-bw5071-gp1010q-p552071" TargetMode="External"/><Relationship Id="rId62" Type="http://schemas.openxmlformats.org/officeDocument/2006/relationships/hyperlink" Target="https://amsatiendaenlinea.com.mx/products/47515?variant=42437753241768&amp;currency=MXN&amp;utm_medium=product_sync&amp;utm_source=google&amp;utm_content=sag_organic&amp;utm_campaign=sag_organic&amp;gad_source=1&amp;gclid=Cj0KCQjw3ZayBhDRARIsAPWzx8plT-RsFqMZzptqehZ8Ywwrfiq7Zt1kKKrQs2dOCq6ZQyL3klJA6AEaAlyDEALw_wcB" TargetMode="External"/><Relationship Id="rId70" Type="http://schemas.openxmlformats.org/officeDocument/2006/relationships/hyperlink" Target="https://www.bpartes.com.mx/products/189632?variant=39651863199853&amp;currency=MXN&amp;utm_medium=product_sync&amp;utm_source=google&amp;utm_content=sag_organic&amp;utm_campaign=sag_organic&amp;gad_source=1&amp;gclid=Cj0KCQjw3ZayBhDRARIsAPWzx8oxlHFZ8WXEo7FaZsNRiaCM1AkY3yjiNvZOwPsZje0oq6FQ1Nrvt8EaAgxkEALw_wcB" TargetMode="External"/><Relationship Id="rId1" Type="http://schemas.openxmlformats.org/officeDocument/2006/relationships/hyperlink" Target="https://spanish.alibaba.com/p-detail/Doosan-1601042333078.html?spm=a2700.galleryofferlist.normal_offer.d_image.25875f04dbsTpq" TargetMode="External"/><Relationship Id="rId6" Type="http://schemas.openxmlformats.org/officeDocument/2006/relationships/hyperlink" Target="https://www.blibli.com/p/doosan-filter-airinner-parts-400401-00093/ps--KOP-60040-00212" TargetMode="External"/><Relationship Id="rId15" Type="http://schemas.openxmlformats.org/officeDocument/2006/relationships/hyperlink" Target="https://articulo.mercadolibre.com.mx/MLM-2696593764-balero-6305-znr-koyo-japones-_JM?matt_tool=93325498&amp;matt_word=&amp;matt_source=google&amp;matt_campaign_id=19652626761&amp;matt_ad_group_id=153098213196&amp;matt_match_type=&amp;matt_network=g&amp;matt_device=c&amp;matt_creative=672484655942&amp;matt_keyword=&amp;matt_ad_position=&amp;matt_ad_type=pla&amp;matt_merchant_id=542290482&amp;matt_product_id=MLM2696593764&amp;matt_product_partition_id=2272199933412&amp;matt_target_id=aud-2038635960613:pla-2272199933412&amp;gad_source=4&amp;gclid=Cj0KCQjwxeyxBhC7ARIsAC7dS3-_wiEdaH8aKPGuF-Nkjz1bEDT7SwQFah_aI7XpijHmGW9RNUQrThYaAsjhEALw_wcB" TargetMode="External"/><Relationship Id="rId23" Type="http://schemas.openxmlformats.org/officeDocument/2006/relationships/hyperlink" Target="https://listado.mercadolibre.com.mx/rodamientos-timken-lm11910" TargetMode="External"/><Relationship Id="rId28" Type="http://schemas.openxmlformats.org/officeDocument/2006/relationships/hyperlink" Target="https://articulo.mercadolibre.com.mx/MLM-2023573408-289335-repuesto-mayor-valvula-de-pie-e-6-igual-bendix-_JM" TargetMode="External"/><Relationship Id="rId36" Type="http://schemas.openxmlformats.org/officeDocument/2006/relationships/hyperlink" Target="https://www.bpartes.com.mx/products/57672" TargetMode="External"/><Relationship Id="rId49" Type="http://schemas.openxmlformats.org/officeDocument/2006/relationships/hyperlink" Target="https://www.mirefaccion.com.mx/products/filtro-hidraulico-fram-p1656" TargetMode="External"/><Relationship Id="rId57" Type="http://schemas.openxmlformats.org/officeDocument/2006/relationships/hyperlink" Target="https://turefa.mercadoshops.com.mx/MLM-912219062-filtro-secador-mb-0004300669-tb1374x-272897-baldwin-ba5374-_JM" TargetMode="External"/><Relationship Id="rId10" Type="http://schemas.openxmlformats.org/officeDocument/2006/relationships/hyperlink" Target="https://renusa.pe/product/filtro-aire-secundario-doosan-dx300-400401-00094-474-00037/" TargetMode="External"/><Relationship Id="rId31" Type="http://schemas.openxmlformats.org/officeDocument/2006/relationships/hyperlink" Target="https://autorefax.com/refacciones/comprar/filtro-de-combustible-donaldson-p552709/209964?srsltid=AfmBOoqu1Lc1Xjt2zlms0M9hW6fsII9ejTKJpfKZIvCUcJdGCPH1FCDi67E" TargetMode="External"/><Relationship Id="rId44" Type="http://schemas.openxmlformats.org/officeDocument/2006/relationships/hyperlink" Target="https://articulo.mercadolibre.com.mx/MLM-1906062845-filtro-de-aceite-c-7601-lf3567-p558329-bt486-51824-gp359-_JM" TargetMode="External"/><Relationship Id="rId52" Type="http://schemas.openxmlformats.org/officeDocument/2006/relationships/hyperlink" Target="https://articulo.mercadolibre.com.mx/MLM-915274278-filtro-combustible-cummins-4088272-ff2200-p552200-bf7766-_JM?matt_tool=51857487&amp;matt_word=&amp;matt_source=google&amp;matt_campaign_id=19652626494&amp;matt_ad_group_id=157459413596&amp;matt_match_type=&amp;matt_network=g&amp;matt_device=c&amp;matt_creative=686626414736&amp;matt_keyword=&amp;matt_ad_position=&amp;matt_ad_type=pla&amp;matt_merchant_id=116997380&amp;matt_product_id=MLM915274278&amp;matt_product_partition_id=2267655088709&amp;matt_target_id=aud-2043372783581:pla-2267655088709&amp;gad_source=1&amp;gclid=CjwKCAjwi_exBhA8EiwA_kU1MifyBp7ZgIAqL4W8U-17yAw6mYumuU0eub3dpXeh-6D0SH-DNDBQFBoC2xIQAvD_BwE" TargetMode="External"/><Relationship Id="rId60" Type="http://schemas.openxmlformats.org/officeDocument/2006/relationships/hyperlink" Target="https://tienda.arboldeoro.com.mx/products/baldwin-filtro-para-aceite-gp152-lf3883-ph7138-b7030-p550367-lfp2285" TargetMode="External"/><Relationship Id="rId65" Type="http://schemas.openxmlformats.org/officeDocument/2006/relationships/hyperlink" Target="https://www.cadeco.com.mx/filtro-de-aire-pa2726/p" TargetMode="External"/><Relationship Id="rId73" Type="http://schemas.openxmlformats.org/officeDocument/2006/relationships/table" Target="../tables/table3.xml"/><Relationship Id="rId4" Type="http://schemas.openxmlformats.org/officeDocument/2006/relationships/hyperlink" Target="https://www.bpartes.com.mx/products/193296?variant=39651870408813&amp;currency=MXN&amp;utm_medium=product_sync&amp;utm_source=google&amp;utm_content=sag_organic&amp;utm_campaign=sag_organic&amp;gad_source=1&amp;gclid=Cj0KCQjwxeyxBhC7ARIsAC7dS389CJ4-LTYbqhaV3y0_tbYZQSOPJIiGkFWZrE36GJ6RDu12SL8adskaAuqOEALw_wcB" TargetMode="External"/><Relationship Id="rId9" Type="http://schemas.openxmlformats.org/officeDocument/2006/relationships/hyperlink" Target="https://www.cadeco.com.mx/filtro-de-aire-jhoat201036/p" TargetMode="External"/><Relationship Id="rId13" Type="http://schemas.openxmlformats.org/officeDocument/2006/relationships/hyperlink" Target="https://www.google.com/url?url=https://articulo.mercadolibre.com.mx/MLM-2342470502-chumacera-de-piso-sy-2-tf-yar-211-200-2-f-sin-caja-skf-_JM%3Fmatt_tool%3D28238160%26utm_source%3Dgoogle_shopping%26utm_medium%3Dorganic&amp;rct=j&amp;q=&amp;esrc=s&amp;opi=95576897&amp;sa=U&amp;ved=0ahUKEwjPipbO2v6FAxVP78kDHamBCqYQgOUECMQH&amp;usg=AOvVaw2Zz-KbT3PGBmrFcfe7bVP1" TargetMode="External"/><Relationship Id="rId18" Type="http://schemas.openxmlformats.org/officeDocument/2006/relationships/hyperlink" Target="https://morenodiesel.mx/product/valvula-de-freno-de-resorte-sr-5/" TargetMode="External"/><Relationship Id="rId39" Type="http://schemas.openxmlformats.org/officeDocument/2006/relationships/hyperlink" Target="https://fyr.com.mx/catalogo/sin%20categor%C3%ADa/wc-5705-wf-filtro-de-agua/" TargetMode="External"/><Relationship Id="rId34" Type="http://schemas.openxmlformats.org/officeDocument/2006/relationships/hyperlink" Target="https://www.bpartes.com.mx/products/80066" TargetMode="External"/><Relationship Id="rId50" Type="http://schemas.openxmlformats.org/officeDocument/2006/relationships/hyperlink" Target="https://www.ebay.com/itm/284971033709?chn=ps&amp;norover=1&amp;mkevt=1&amp;mkrid=21562-222008-2056-1&amp;mkcid=2&amp;itemid=284971033709&amp;targetid=296227501805&amp;device=c&amp;mktype=pla&amp;googleloc=1010041&amp;poi=&amp;campaignid=19868683663&amp;mkgroupid=145907810526&amp;rlsatarget=pla-296227501805&amp;abcId=&amp;merchantid=101501688&amp;gad_source=1&amp;gclid=CjwKCAjwi_exBhA8EiwA_kU1MgNwpwSlq9seEqvXgpQz_9HTZ-QsMYmwENVexDrjfx7mRHoVPmI8WxoCE1cQAvD_BwE" TargetMode="External"/><Relationship Id="rId55" Type="http://schemas.openxmlformats.org/officeDocument/2006/relationships/hyperlink" Target="https://tienda.arboldeoro.com.mx/products/baldwin-filtro-para-combustible-bf1205" TargetMode="External"/><Relationship Id="rId7" Type="http://schemas.openxmlformats.org/officeDocument/2006/relationships/hyperlink" Target="https://www.bpartes.com.mx/products/147010" TargetMode="External"/><Relationship Id="rId71" Type="http://schemas.openxmlformats.org/officeDocument/2006/relationships/hyperlink" Target="https://www.dieselpartscenter.com/bypass-valve-genuine-pai-1818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2"/>
  <sheetViews>
    <sheetView workbookViewId="0"/>
  </sheetViews>
  <sheetFormatPr defaultColWidth="12.5703125" defaultRowHeight="15.75" customHeight="1"/>
  <cols>
    <col min="1" max="1" width="1.85546875" customWidth="1"/>
    <col min="2" max="2" width="34.85546875" customWidth="1"/>
    <col min="4" max="4" width="2.28515625" customWidth="1"/>
    <col min="5" max="5" width="8.42578125" customWidth="1"/>
    <col min="6" max="6" width="13.42578125" customWidth="1"/>
    <col min="7" max="7" width="17" customWidth="1"/>
    <col min="8" max="8" width="13.42578125" customWidth="1"/>
    <col min="9" max="9" width="2" customWidth="1"/>
    <col min="10" max="10" width="26.42578125" customWidth="1"/>
    <col min="11" max="11" width="2.28515625" customWidth="1"/>
    <col min="12" max="12" width="23.42578125" customWidth="1"/>
    <col min="13" max="13" width="2.7109375" customWidth="1"/>
    <col min="14" max="14" width="20.5703125" customWidth="1"/>
    <col min="15" max="15" width="2.42578125" customWidth="1"/>
    <col min="17" max="17" width="2.85546875" customWidth="1"/>
  </cols>
  <sheetData>
    <row r="1" spans="1:16">
      <c r="A1" s="1" t="s">
        <v>0</v>
      </c>
    </row>
    <row r="2" spans="1:16">
      <c r="E2" s="1" t="s">
        <v>1</v>
      </c>
    </row>
    <row r="3" spans="1:16">
      <c r="B3" s="2" t="s">
        <v>2</v>
      </c>
      <c r="C3" s="3"/>
      <c r="E3" s="4" t="s">
        <v>3</v>
      </c>
      <c r="F3" s="5" t="s">
        <v>4</v>
      </c>
      <c r="G3" s="5" t="s">
        <v>5</v>
      </c>
      <c r="H3" s="6" t="s">
        <v>6</v>
      </c>
      <c r="J3" s="7" t="s">
        <v>7</v>
      </c>
      <c r="L3" s="8" t="s">
        <v>8</v>
      </c>
      <c r="N3" s="7" t="s">
        <v>9</v>
      </c>
      <c r="P3" s="9" t="s">
        <v>10</v>
      </c>
    </row>
    <row r="4" spans="1:16">
      <c r="B4" s="10" t="s">
        <v>11</v>
      </c>
      <c r="C4" s="11" t="s">
        <v>12</v>
      </c>
      <c r="E4" s="12"/>
      <c r="F4" s="13"/>
      <c r="G4" s="13"/>
      <c r="H4" s="14"/>
      <c r="J4" s="15" t="s">
        <v>13</v>
      </c>
      <c r="L4" s="16" t="s">
        <v>14</v>
      </c>
      <c r="N4" s="15" t="s">
        <v>5</v>
      </c>
      <c r="P4" s="17"/>
    </row>
    <row r="5" spans="1:16">
      <c r="B5" s="18" t="s">
        <v>15</v>
      </c>
      <c r="C5" s="19">
        <f>523339635400</f>
        <v>523339635400</v>
      </c>
      <c r="E5" s="20">
        <v>1</v>
      </c>
      <c r="F5" s="21"/>
      <c r="G5" s="21" t="s">
        <v>16</v>
      </c>
      <c r="H5" s="22"/>
      <c r="J5" s="15" t="s">
        <v>17</v>
      </c>
      <c r="L5" s="16" t="s">
        <v>18</v>
      </c>
      <c r="N5" s="15" t="s">
        <v>19</v>
      </c>
      <c r="P5" s="17"/>
    </row>
    <row r="6" spans="1:16">
      <c r="B6" s="18" t="s">
        <v>20</v>
      </c>
      <c r="C6" s="19">
        <f>523122101443</f>
        <v>523122101443</v>
      </c>
      <c r="E6" s="23">
        <v>2</v>
      </c>
      <c r="F6" s="24"/>
      <c r="G6" s="25" t="s">
        <v>21</v>
      </c>
      <c r="H6" s="26"/>
      <c r="J6" s="15" t="s">
        <v>22</v>
      </c>
      <c r="L6" s="16" t="s">
        <v>23</v>
      </c>
      <c r="N6" s="15" t="s">
        <v>24</v>
      </c>
      <c r="P6" s="17"/>
    </row>
    <row r="7" spans="1:16">
      <c r="B7" s="18" t="s">
        <v>25</v>
      </c>
      <c r="C7" s="19">
        <f>523121680758</f>
        <v>523121680758</v>
      </c>
      <c r="E7" s="23">
        <v>3</v>
      </c>
      <c r="F7" s="24"/>
      <c r="G7" s="25"/>
      <c r="H7" s="26"/>
      <c r="J7" s="15" t="s">
        <v>26</v>
      </c>
      <c r="L7" s="16" t="s">
        <v>27</v>
      </c>
      <c r="N7" s="15" t="s">
        <v>28</v>
      </c>
      <c r="P7" s="17"/>
    </row>
    <row r="8" spans="1:16">
      <c r="B8" s="18" t="s">
        <v>29</v>
      </c>
      <c r="C8" s="27">
        <v>3319269108</v>
      </c>
      <c r="E8" s="28">
        <v>4</v>
      </c>
      <c r="F8" s="29" t="s">
        <v>30</v>
      </c>
      <c r="G8" s="29" t="s">
        <v>31</v>
      </c>
      <c r="H8" s="30"/>
      <c r="J8" s="15" t="s">
        <v>32</v>
      </c>
      <c r="L8" s="16" t="s">
        <v>33</v>
      </c>
      <c r="N8" s="15" t="s">
        <v>34</v>
      </c>
      <c r="P8" s="17"/>
    </row>
    <row r="9" spans="1:16">
      <c r="B9" s="18" t="s">
        <v>35</v>
      </c>
      <c r="C9" s="27">
        <v>3121215909</v>
      </c>
      <c r="E9" s="28">
        <v>5</v>
      </c>
      <c r="F9" s="29" t="s">
        <v>30</v>
      </c>
      <c r="G9" s="29"/>
      <c r="H9" s="30"/>
      <c r="J9" s="15" t="s">
        <v>36</v>
      </c>
      <c r="L9" s="16" t="s">
        <v>37</v>
      </c>
      <c r="N9" s="15" t="s">
        <v>38</v>
      </c>
      <c r="P9" s="17"/>
    </row>
    <row r="10" spans="1:16">
      <c r="B10" s="31"/>
      <c r="C10" s="27">
        <v>523121199882</v>
      </c>
      <c r="E10" s="32">
        <v>6</v>
      </c>
      <c r="F10" s="33" t="s">
        <v>39</v>
      </c>
      <c r="G10" s="33" t="s">
        <v>40</v>
      </c>
      <c r="H10" s="34"/>
      <c r="J10" s="15" t="s">
        <v>41</v>
      </c>
      <c r="L10" s="16" t="s">
        <v>42</v>
      </c>
      <c r="N10" s="15" t="s">
        <v>43</v>
      </c>
      <c r="P10" s="17"/>
    </row>
    <row r="11" spans="1:16">
      <c r="B11" s="18" t="s">
        <v>44</v>
      </c>
      <c r="C11" s="27">
        <v>523121239829</v>
      </c>
      <c r="E11" s="35">
        <v>7</v>
      </c>
      <c r="F11" s="36" t="s">
        <v>45</v>
      </c>
      <c r="G11" s="36" t="s">
        <v>46</v>
      </c>
      <c r="H11" s="37"/>
      <c r="J11" s="15" t="s">
        <v>47</v>
      </c>
      <c r="L11" s="16" t="s">
        <v>48</v>
      </c>
      <c r="N11" s="15" t="s">
        <v>49</v>
      </c>
      <c r="P11" s="17"/>
    </row>
    <row r="12" spans="1:16">
      <c r="B12" s="31"/>
      <c r="C12" s="27">
        <v>523121277302</v>
      </c>
      <c r="E12" s="38">
        <v>8</v>
      </c>
      <c r="F12" s="39" t="s">
        <v>50</v>
      </c>
      <c r="G12" s="39" t="s">
        <v>51</v>
      </c>
      <c r="H12" s="40"/>
      <c r="J12" s="15" t="s">
        <v>52</v>
      </c>
      <c r="L12" s="16" t="s">
        <v>53</v>
      </c>
      <c r="N12" s="15" t="s">
        <v>54</v>
      </c>
      <c r="P12" s="17"/>
    </row>
    <row r="13" spans="1:16">
      <c r="B13" s="31"/>
      <c r="C13" s="27">
        <v>523121321888</v>
      </c>
      <c r="E13" s="41">
        <v>9</v>
      </c>
      <c r="F13" s="42" t="s">
        <v>55</v>
      </c>
      <c r="G13" s="42" t="s">
        <v>56</v>
      </c>
      <c r="H13" s="43"/>
      <c r="J13" s="15" t="s">
        <v>57</v>
      </c>
      <c r="L13" s="16" t="s">
        <v>58</v>
      </c>
      <c r="N13" s="44" t="s">
        <v>59</v>
      </c>
      <c r="P13" s="45"/>
    </row>
    <row r="14" spans="1:16">
      <c r="B14" s="18" t="s">
        <v>60</v>
      </c>
      <c r="C14" s="27">
        <v>523121323246</v>
      </c>
      <c r="E14" s="12">
        <v>10</v>
      </c>
      <c r="F14" s="13"/>
      <c r="G14" s="46"/>
      <c r="H14" s="14"/>
      <c r="J14" s="44" t="s">
        <v>61</v>
      </c>
      <c r="L14" s="16" t="s">
        <v>62</v>
      </c>
    </row>
    <row r="15" spans="1:16">
      <c r="B15" s="18" t="s">
        <v>63</v>
      </c>
      <c r="C15" s="27">
        <v>523121385129</v>
      </c>
      <c r="E15" s="35">
        <v>11</v>
      </c>
      <c r="F15" s="36" t="s">
        <v>45</v>
      </c>
      <c r="G15" s="36"/>
      <c r="H15" s="37"/>
      <c r="L15" s="16" t="s">
        <v>64</v>
      </c>
    </row>
    <row r="16" spans="1:16">
      <c r="B16" s="31"/>
      <c r="C16" s="27">
        <v>3121386489</v>
      </c>
      <c r="E16" s="35">
        <v>12</v>
      </c>
      <c r="F16" s="36" t="s">
        <v>45</v>
      </c>
      <c r="G16" s="36" t="s">
        <v>65</v>
      </c>
      <c r="H16" s="37"/>
      <c r="L16" s="16" t="s">
        <v>66</v>
      </c>
    </row>
    <row r="17" spans="2:12">
      <c r="B17" s="31"/>
      <c r="C17" s="27">
        <v>3121776131</v>
      </c>
      <c r="E17" s="35">
        <v>13</v>
      </c>
      <c r="F17" s="36" t="s">
        <v>45</v>
      </c>
      <c r="G17" s="36"/>
      <c r="H17" s="37"/>
      <c r="L17" s="16" t="s">
        <v>67</v>
      </c>
    </row>
    <row r="18" spans="2:12">
      <c r="B18" s="31"/>
      <c r="C18" s="27">
        <v>3121823746</v>
      </c>
      <c r="E18" s="28">
        <v>14</v>
      </c>
      <c r="F18" s="29" t="s">
        <v>68</v>
      </c>
      <c r="G18" s="29" t="s">
        <v>69</v>
      </c>
      <c r="H18" s="47"/>
      <c r="L18" s="16" t="s">
        <v>70</v>
      </c>
    </row>
    <row r="19" spans="2:12">
      <c r="B19" s="31"/>
      <c r="C19" s="27">
        <v>3121885228</v>
      </c>
      <c r="E19" s="48">
        <v>15</v>
      </c>
      <c r="F19" s="49" t="s">
        <v>71</v>
      </c>
      <c r="G19" s="50"/>
      <c r="H19" s="51"/>
      <c r="L19" s="52" t="s">
        <v>72</v>
      </c>
    </row>
    <row r="20" spans="2:12">
      <c r="B20" s="31"/>
      <c r="C20" s="27">
        <v>3121897762</v>
      </c>
      <c r="E20" s="35">
        <v>16</v>
      </c>
      <c r="F20" s="36" t="s">
        <v>73</v>
      </c>
      <c r="G20" s="36" t="s">
        <v>74</v>
      </c>
      <c r="H20" s="37"/>
      <c r="L20" s="53" t="s">
        <v>75</v>
      </c>
    </row>
    <row r="21" spans="2:12">
      <c r="B21" s="31"/>
      <c r="C21" s="27">
        <v>3121983631</v>
      </c>
      <c r="E21" s="48">
        <v>17</v>
      </c>
      <c r="F21" s="49" t="s">
        <v>76</v>
      </c>
      <c r="G21" s="49"/>
      <c r="H21" s="51"/>
    </row>
    <row r="22" spans="2:12">
      <c r="B22" s="31"/>
      <c r="C22" s="27">
        <v>3122090305</v>
      </c>
      <c r="E22" s="32">
        <v>18</v>
      </c>
      <c r="F22" s="33" t="s">
        <v>39</v>
      </c>
      <c r="G22" s="33" t="s">
        <v>77</v>
      </c>
      <c r="H22" s="34"/>
    </row>
    <row r="23" spans="2:12">
      <c r="B23" s="31"/>
      <c r="C23" s="27">
        <v>3122195502</v>
      </c>
      <c r="E23" s="32">
        <v>19</v>
      </c>
      <c r="F23" s="33" t="s">
        <v>39</v>
      </c>
      <c r="G23" s="33"/>
      <c r="H23" s="34"/>
    </row>
    <row r="24" spans="2:12">
      <c r="B24" s="31"/>
      <c r="C24" s="27">
        <v>3122255082</v>
      </c>
      <c r="E24" s="32">
        <v>20</v>
      </c>
      <c r="F24" s="33" t="s">
        <v>39</v>
      </c>
      <c r="G24" s="33"/>
      <c r="H24" s="34"/>
    </row>
    <row r="25" spans="2:12">
      <c r="B25" s="18" t="s">
        <v>78</v>
      </c>
      <c r="C25" s="27">
        <v>3122425712</v>
      </c>
      <c r="E25" s="54">
        <v>21</v>
      </c>
      <c r="F25" s="55" t="s">
        <v>79</v>
      </c>
      <c r="G25" s="55"/>
      <c r="H25" s="56"/>
    </row>
    <row r="26" spans="2:12">
      <c r="B26" s="18" t="s">
        <v>80</v>
      </c>
      <c r="C26" s="27">
        <v>3123175296</v>
      </c>
      <c r="E26" s="38">
        <v>22</v>
      </c>
      <c r="F26" s="39" t="s">
        <v>50</v>
      </c>
      <c r="G26" s="39" t="s">
        <v>81</v>
      </c>
      <c r="H26" s="40"/>
    </row>
    <row r="27" spans="2:12">
      <c r="B27" s="31"/>
      <c r="C27" s="27">
        <v>3148720671</v>
      </c>
      <c r="E27" s="57">
        <v>23</v>
      </c>
      <c r="F27" s="58" t="s">
        <v>82</v>
      </c>
      <c r="G27" s="59"/>
      <c r="H27" s="60"/>
    </row>
    <row r="28" spans="2:12">
      <c r="B28" s="31"/>
      <c r="C28" s="27">
        <v>3312814903</v>
      </c>
      <c r="E28" s="1">
        <v>24</v>
      </c>
      <c r="F28" s="1" t="s">
        <v>83</v>
      </c>
      <c r="G28" s="1" t="s">
        <v>65</v>
      </c>
    </row>
    <row r="29" spans="2:12">
      <c r="B29" s="18" t="s">
        <v>84</v>
      </c>
      <c r="C29" s="27">
        <v>3317548791</v>
      </c>
      <c r="E29" s="1">
        <v>25</v>
      </c>
      <c r="F29" s="1" t="s">
        <v>85</v>
      </c>
    </row>
    <row r="30" spans="2:12">
      <c r="B30" s="18" t="s">
        <v>86</v>
      </c>
      <c r="C30" s="27">
        <v>3328332542</v>
      </c>
      <c r="E30" s="1">
        <v>26</v>
      </c>
      <c r="F30" s="1" t="s">
        <v>87</v>
      </c>
    </row>
    <row r="31" spans="2:12">
      <c r="B31" s="18" t="s">
        <v>88</v>
      </c>
      <c r="C31" s="27">
        <v>3330204626</v>
      </c>
      <c r="E31" s="1">
        <v>27</v>
      </c>
    </row>
    <row r="32" spans="2:12">
      <c r="B32" s="18" t="s">
        <v>89</v>
      </c>
      <c r="C32" s="27">
        <v>4427160600</v>
      </c>
      <c r="E32" s="1">
        <v>28</v>
      </c>
    </row>
    <row r="33" spans="2:10">
      <c r="B33" s="61"/>
      <c r="C33" s="62"/>
      <c r="E33" s="1">
        <v>29</v>
      </c>
    </row>
    <row r="34" spans="2:10">
      <c r="E34" s="1">
        <v>30</v>
      </c>
    </row>
    <row r="35" spans="2:10">
      <c r="F35" s="1" t="s">
        <v>90</v>
      </c>
      <c r="H35" s="1" t="s">
        <v>91</v>
      </c>
      <c r="J35" s="63">
        <v>45721</v>
      </c>
    </row>
    <row r="36" spans="2:10">
      <c r="B36" s="1" t="s">
        <v>92</v>
      </c>
      <c r="E36" s="64" t="s">
        <v>93</v>
      </c>
      <c r="F36" s="1" t="s">
        <v>94</v>
      </c>
      <c r="H36" s="1" t="s">
        <v>95</v>
      </c>
    </row>
    <row r="37" spans="2:10">
      <c r="B37" s="65" t="s">
        <v>96</v>
      </c>
      <c r="E37" s="64" t="s">
        <v>97</v>
      </c>
      <c r="F37" s="1" t="s">
        <v>98</v>
      </c>
      <c r="H37" s="1" t="s">
        <v>99</v>
      </c>
    </row>
    <row r="38" spans="2:10">
      <c r="B38" s="65" t="s">
        <v>100</v>
      </c>
      <c r="E38" s="64" t="s">
        <v>101</v>
      </c>
      <c r="F38" s="1" t="s">
        <v>102</v>
      </c>
    </row>
    <row r="39" spans="2:10">
      <c r="B39" s="65" t="s">
        <v>103</v>
      </c>
      <c r="E39" s="64" t="s">
        <v>104</v>
      </c>
      <c r="F39" s="1" t="s">
        <v>105</v>
      </c>
      <c r="H39" s="1" t="s">
        <v>106</v>
      </c>
      <c r="J39" s="63">
        <v>45782</v>
      </c>
    </row>
    <row r="40" spans="2:10">
      <c r="B40" s="65" t="s">
        <v>107</v>
      </c>
      <c r="F40" s="1" t="s">
        <v>108</v>
      </c>
      <c r="H40" s="1" t="s">
        <v>109</v>
      </c>
    </row>
    <row r="41" spans="2:10">
      <c r="B41" s="65" t="s">
        <v>110</v>
      </c>
      <c r="H41" s="1" t="s">
        <v>111</v>
      </c>
    </row>
    <row r="42" spans="2:10">
      <c r="F42" s="1" t="s">
        <v>112</v>
      </c>
    </row>
    <row r="43" spans="2:10">
      <c r="F43" s="1" t="s">
        <v>113</v>
      </c>
    </row>
    <row r="45" spans="2:10">
      <c r="B45" s="1" t="s">
        <v>114</v>
      </c>
    </row>
    <row r="46" spans="2:10">
      <c r="B46" s="66" t="s">
        <v>115</v>
      </c>
      <c r="C46" s="1">
        <v>169.95</v>
      </c>
      <c r="D46" s="67" t="s">
        <v>116</v>
      </c>
    </row>
    <row r="47" spans="2:10">
      <c r="B47" s="1" t="s">
        <v>117</v>
      </c>
      <c r="C47" s="1">
        <v>270.55</v>
      </c>
      <c r="D47" s="67" t="s">
        <v>118</v>
      </c>
    </row>
    <row r="48" spans="2:10">
      <c r="B48" s="1" t="s">
        <v>119</v>
      </c>
      <c r="C48" s="1">
        <v>559</v>
      </c>
      <c r="D48" s="67" t="s">
        <v>120</v>
      </c>
    </row>
    <row r="49" spans="2:10">
      <c r="B49" s="1" t="s">
        <v>121</v>
      </c>
      <c r="C49" s="1">
        <v>1180</v>
      </c>
      <c r="D49" s="67" t="s">
        <v>122</v>
      </c>
    </row>
    <row r="50" spans="2:10">
      <c r="B50" s="1" t="s">
        <v>123</v>
      </c>
      <c r="C50" s="1">
        <v>660</v>
      </c>
      <c r="D50" s="67" t="s">
        <v>124</v>
      </c>
    </row>
    <row r="51" spans="2:10">
      <c r="B51" s="1" t="s">
        <v>125</v>
      </c>
      <c r="C51" s="1">
        <v>399</v>
      </c>
      <c r="D51" s="67" t="s">
        <v>126</v>
      </c>
    </row>
    <row r="52" spans="2:10">
      <c r="B52" s="1" t="s">
        <v>127</v>
      </c>
      <c r="C52" s="1">
        <v>760</v>
      </c>
      <c r="D52" s="67" t="s">
        <v>128</v>
      </c>
    </row>
    <row r="53" spans="2:10">
      <c r="B53" s="1" t="s">
        <v>129</v>
      </c>
      <c r="C53" s="1">
        <v>105</v>
      </c>
      <c r="D53" s="67" t="s">
        <v>130</v>
      </c>
    </row>
    <row r="54" spans="2:10">
      <c r="B54" s="1" t="s">
        <v>131</v>
      </c>
      <c r="C54" s="1">
        <v>2309</v>
      </c>
      <c r="D54" s="67" t="s">
        <v>132</v>
      </c>
    </row>
    <row r="57" spans="2:10" ht="15.75" customHeight="1">
      <c r="B57" s="68" t="s">
        <v>133</v>
      </c>
    </row>
    <row r="60" spans="2:10" ht="15.75" customHeight="1">
      <c r="B60" s="69" t="s">
        <v>134</v>
      </c>
    </row>
    <row r="61" spans="2:10">
      <c r="B61" s="1" t="s">
        <v>135</v>
      </c>
    </row>
    <row r="63" spans="2:10" ht="15.75" customHeight="1">
      <c r="B63" s="69" t="s">
        <v>136</v>
      </c>
      <c r="C63" s="69" t="s">
        <v>137</v>
      </c>
      <c r="G63" s="69" t="s">
        <v>138</v>
      </c>
      <c r="J63" s="69" t="s">
        <v>139</v>
      </c>
    </row>
    <row r="64" spans="2:10">
      <c r="B64" s="1" t="s">
        <v>140</v>
      </c>
      <c r="C64" s="1" t="s">
        <v>141</v>
      </c>
      <c r="G64" s="1" t="s">
        <v>142</v>
      </c>
      <c r="J64" s="1" t="s">
        <v>143</v>
      </c>
    </row>
    <row r="65" spans="2:10">
      <c r="B65" s="1" t="s">
        <v>144</v>
      </c>
      <c r="C65" s="1" t="s">
        <v>145</v>
      </c>
      <c r="G65" s="1" t="s">
        <v>146</v>
      </c>
      <c r="J65" s="1" t="s">
        <v>14</v>
      </c>
    </row>
    <row r="66" spans="2:10">
      <c r="B66" s="1" t="s">
        <v>147</v>
      </c>
      <c r="C66" s="1" t="s">
        <v>148</v>
      </c>
      <c r="G66" s="1" t="s">
        <v>149</v>
      </c>
      <c r="J66" s="1" t="s">
        <v>150</v>
      </c>
    </row>
    <row r="67" spans="2:10">
      <c r="B67" s="1" t="s">
        <v>151</v>
      </c>
      <c r="C67" s="1" t="s">
        <v>152</v>
      </c>
      <c r="G67" s="1" t="s">
        <v>153</v>
      </c>
      <c r="J67" s="1" t="s">
        <v>154</v>
      </c>
    </row>
    <row r="68" spans="2:10">
      <c r="B68" s="1" t="s">
        <v>155</v>
      </c>
      <c r="C68" s="1" t="s">
        <v>156</v>
      </c>
      <c r="G68" s="1" t="s">
        <v>157</v>
      </c>
      <c r="J68" s="1" t="s">
        <v>158</v>
      </c>
    </row>
    <row r="69" spans="2:10">
      <c r="B69" s="1" t="s">
        <v>159</v>
      </c>
      <c r="C69" s="1" t="s">
        <v>160</v>
      </c>
      <c r="G69" s="1" t="s">
        <v>161</v>
      </c>
      <c r="J69" s="1" t="s">
        <v>162</v>
      </c>
    </row>
    <row r="70" spans="2:10">
      <c r="B70" s="1" t="s">
        <v>163</v>
      </c>
      <c r="C70" s="1" t="s">
        <v>164</v>
      </c>
      <c r="J70" s="1" t="s">
        <v>165</v>
      </c>
    </row>
    <row r="71" spans="2:10">
      <c r="C71" s="1" t="s">
        <v>166</v>
      </c>
      <c r="J71" s="1" t="s">
        <v>167</v>
      </c>
    </row>
    <row r="72" spans="2:10">
      <c r="C72" s="1" t="s">
        <v>168</v>
      </c>
    </row>
  </sheetData>
  <hyperlinks>
    <hyperlink ref="D46" r:id="rId1"/>
    <hyperlink ref="D47" r:id="rId2" location="polycard_client=search-nordic&amp;searchVariation=MLM36240478&amp;wid=MLM2057486619&amp;position=2&amp;search_layout=grid&amp;type=product&amp;tracking_id=b5a8f63c-3625-4fef-990c-1384ac1626b3&amp;sid=search"/>
    <hyperlink ref="D48" r:id="rId3" location="polycard_client=search-nordic&amp;searchVariation=MLMU463835711&amp;wid=MLM1744011192&amp;position=14&amp;search_layout=grid&amp;type=product&amp;tracking_id=9cf88644-4b0e-418c-9be1-a778213ed6c7&amp;sid=search"/>
    <hyperlink ref="D49" r:id="rId4" location="polycard_client=search-nordic&amp;searchVariation=MLMU538639223&amp;backend_model=search-backend&amp;wid=MLM808601305&amp;position=5&amp;search_layout=grid&amp;type=product&amp;tracking_id=59bf3f6f-1873-4518-b21a-847924de0a50&amp;sid=search"/>
    <hyperlink ref="D50" r:id="rId5" location="polycard_client=search-nordic&amp;searchVariation=MLMU524627075&amp;backend_model=search-backend&amp;wid=MLM767252185&amp;position=4&amp;search_layout=stack&amp;type=product&amp;tracking_id=068405d2-fd41-4f7e-a61d-aa0b8d227534&amp;sid=search"/>
    <hyperlink ref="D51" r:id="rId6" location="polycard_client=search-nordic&amp;searchVariation=MLMU524292927&amp;wid=MLM764924643&amp;position=2&amp;search_layout=grid&amp;type=product&amp;tracking_id=b7935a5f-0e38-4e11-8149-e468bd5df483&amp;sid=search"/>
    <hyperlink ref="D52" r:id="rId7" location="polycard_client=search-nordic&amp;searchVariation=MLM46813938&amp;wid=MLM3586816330&amp;position=2&amp;search_layout=grid&amp;type=product&amp;tracking_id=5f00340e-bd92-4eec-92d1-2d0d9b64f08c&amp;sid=search"/>
    <hyperlink ref="D53" r:id="rId8" location="polycard_client=search-nordic&amp;position=30&amp;search_layout=grid&amp;type=item&amp;tracking_id=920d4a33-8f65-45b2-9611-267751f39b9f&amp;wid=MLM1457923008&amp;sid=search"/>
    <hyperlink ref="D54" r:id="rId9" location="polycard_client=search-nordic&amp;position=35&amp;search_layout=grid&amp;type=item&amp;tracking_id=5c53741e-8a70-4958-9b94-06e5dcbd2257&amp;wid=MLM3345342192&amp;sid=search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7"/>
  <sheetViews>
    <sheetView tabSelected="1" workbookViewId="0">
      <pane ySplit="1" topLeftCell="A2" activePane="bottomLeft" state="frozen"/>
      <selection pane="bottomLeft" activeCell="D31" sqref="D31"/>
    </sheetView>
  </sheetViews>
  <sheetFormatPr defaultColWidth="12.5703125" defaultRowHeight="15.75" customHeight="1"/>
  <cols>
    <col min="1" max="1" width="27.42578125" bestFit="1" customWidth="1"/>
    <col min="2" max="2" width="16.28515625" bestFit="1" customWidth="1"/>
    <col min="3" max="3" width="18" bestFit="1" customWidth="1"/>
    <col min="4" max="4" width="23.42578125" customWidth="1"/>
    <col min="5" max="5" width="17.42578125" bestFit="1" customWidth="1"/>
    <col min="6" max="6" width="18" bestFit="1" customWidth="1"/>
    <col min="7" max="7" width="23.28515625" bestFit="1" customWidth="1"/>
  </cols>
  <sheetData>
    <row r="1" spans="1:27">
      <c r="A1" s="76" t="s">
        <v>181</v>
      </c>
      <c r="B1" s="77" t="s">
        <v>182</v>
      </c>
      <c r="C1" s="77" t="s">
        <v>4</v>
      </c>
      <c r="D1" s="78" t="s">
        <v>183</v>
      </c>
      <c r="E1" s="78" t="s">
        <v>184</v>
      </c>
      <c r="F1" s="78" t="s">
        <v>185</v>
      </c>
      <c r="G1" s="79" t="s">
        <v>5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spans="1:27">
      <c r="A2" s="81" t="s">
        <v>180</v>
      </c>
      <c r="B2" s="82" t="s">
        <v>186</v>
      </c>
      <c r="C2" s="83" t="s">
        <v>187</v>
      </c>
      <c r="D2" s="84" t="s">
        <v>188</v>
      </c>
      <c r="E2" s="85"/>
      <c r="F2" s="85"/>
      <c r="G2" s="86" t="s">
        <v>189</v>
      </c>
    </row>
    <row r="3" spans="1:27">
      <c r="A3" s="87" t="s">
        <v>190</v>
      </c>
      <c r="B3" s="88" t="s">
        <v>191</v>
      </c>
      <c r="C3" s="89" t="s">
        <v>192</v>
      </c>
      <c r="D3" s="90" t="s">
        <v>188</v>
      </c>
      <c r="E3" s="91"/>
      <c r="F3" s="91"/>
      <c r="G3" s="92" t="s">
        <v>193</v>
      </c>
    </row>
    <row r="4" spans="1:27">
      <c r="A4" s="93" t="s">
        <v>194</v>
      </c>
      <c r="B4" s="88" t="s">
        <v>191</v>
      </c>
      <c r="C4" s="94" t="s">
        <v>192</v>
      </c>
      <c r="D4" s="84" t="s">
        <v>188</v>
      </c>
      <c r="E4" s="85"/>
      <c r="F4" s="85"/>
      <c r="G4" s="95" t="s">
        <v>195</v>
      </c>
    </row>
    <row r="5" spans="1:27">
      <c r="A5" s="87" t="s">
        <v>196</v>
      </c>
      <c r="B5" s="88" t="s">
        <v>186</v>
      </c>
      <c r="C5" s="89" t="s">
        <v>197</v>
      </c>
      <c r="D5" s="90" t="s">
        <v>188</v>
      </c>
      <c r="E5" s="91"/>
      <c r="F5" s="91"/>
      <c r="G5" s="96" t="s">
        <v>198</v>
      </c>
    </row>
    <row r="6" spans="1:27">
      <c r="A6" s="81" t="s">
        <v>173</v>
      </c>
      <c r="B6" s="82" t="s">
        <v>186</v>
      </c>
      <c r="C6" s="83" t="s">
        <v>197</v>
      </c>
      <c r="D6" s="84" t="s">
        <v>199</v>
      </c>
      <c r="E6" s="85"/>
      <c r="F6" s="85"/>
      <c r="G6" s="86" t="s">
        <v>200</v>
      </c>
    </row>
    <row r="7" spans="1:27">
      <c r="A7" s="97" t="s">
        <v>201</v>
      </c>
      <c r="B7" s="98" t="s">
        <v>186</v>
      </c>
      <c r="C7" s="99" t="s">
        <v>197</v>
      </c>
      <c r="D7" s="90" t="s">
        <v>199</v>
      </c>
      <c r="E7" s="91"/>
      <c r="F7" s="91"/>
      <c r="G7" s="100" t="s">
        <v>200</v>
      </c>
    </row>
    <row r="8" spans="1:27">
      <c r="A8" s="81" t="s">
        <v>202</v>
      </c>
      <c r="B8" s="82" t="s">
        <v>186</v>
      </c>
      <c r="C8" s="83" t="s">
        <v>197</v>
      </c>
      <c r="D8" s="84" t="s">
        <v>203</v>
      </c>
      <c r="E8" s="85"/>
      <c r="F8" s="85"/>
      <c r="G8" s="86" t="s">
        <v>200</v>
      </c>
    </row>
    <row r="9" spans="1:27">
      <c r="A9" s="87" t="s">
        <v>82</v>
      </c>
      <c r="B9" s="88" t="s">
        <v>204</v>
      </c>
      <c r="C9" s="89" t="s">
        <v>205</v>
      </c>
      <c r="D9" s="90" t="s">
        <v>203</v>
      </c>
      <c r="E9" s="91"/>
      <c r="F9" s="91"/>
      <c r="G9" s="96" t="s">
        <v>206</v>
      </c>
    </row>
    <row r="10" spans="1:27">
      <c r="A10" s="81" t="s">
        <v>176</v>
      </c>
      <c r="B10" s="82" t="s">
        <v>186</v>
      </c>
      <c r="C10" s="83" t="s">
        <v>207</v>
      </c>
      <c r="D10" s="84" t="s">
        <v>188</v>
      </c>
      <c r="E10" s="85"/>
      <c r="F10" s="85"/>
      <c r="G10" s="86" t="s">
        <v>208</v>
      </c>
    </row>
    <row r="11" spans="1:27">
      <c r="A11" s="97" t="s">
        <v>178</v>
      </c>
      <c r="B11" s="98" t="s">
        <v>186</v>
      </c>
      <c r="C11" s="99" t="s">
        <v>207</v>
      </c>
      <c r="D11" s="90" t="s">
        <v>188</v>
      </c>
      <c r="E11" s="91"/>
      <c r="F11" s="91"/>
      <c r="G11" s="100" t="s">
        <v>209</v>
      </c>
    </row>
    <row r="12" spans="1:27">
      <c r="A12" s="81" t="s">
        <v>179</v>
      </c>
      <c r="B12" s="82" t="s">
        <v>186</v>
      </c>
      <c r="C12" s="83" t="s">
        <v>207</v>
      </c>
      <c r="D12" s="84" t="s">
        <v>188</v>
      </c>
      <c r="E12" s="85"/>
      <c r="F12" s="85"/>
      <c r="G12" s="86" t="s">
        <v>210</v>
      </c>
    </row>
    <row r="13" spans="1:27">
      <c r="A13" s="97" t="s">
        <v>177</v>
      </c>
      <c r="B13" s="98" t="s">
        <v>186</v>
      </c>
      <c r="C13" s="99" t="s">
        <v>207</v>
      </c>
      <c r="D13" s="90" t="s">
        <v>203</v>
      </c>
      <c r="E13" s="91"/>
      <c r="F13" s="91"/>
      <c r="G13" s="100" t="s">
        <v>200</v>
      </c>
    </row>
    <row r="14" spans="1:27">
      <c r="A14" s="101" t="s">
        <v>211</v>
      </c>
      <c r="B14" s="88" t="s">
        <v>204</v>
      </c>
      <c r="C14" s="94" t="s">
        <v>212</v>
      </c>
      <c r="D14" s="84" t="s">
        <v>199</v>
      </c>
      <c r="E14" s="85"/>
      <c r="F14" s="85"/>
      <c r="G14" s="95" t="s">
        <v>213</v>
      </c>
    </row>
    <row r="15" spans="1:27">
      <c r="A15" s="87" t="s">
        <v>214</v>
      </c>
      <c r="B15" s="88" t="s">
        <v>191</v>
      </c>
      <c r="C15" s="89" t="s">
        <v>215</v>
      </c>
      <c r="D15" s="90" t="s">
        <v>188</v>
      </c>
      <c r="E15" s="91"/>
      <c r="F15" s="91"/>
      <c r="G15" s="92" t="s">
        <v>31</v>
      </c>
    </row>
    <row r="16" spans="1:27">
      <c r="A16" s="101" t="s">
        <v>216</v>
      </c>
      <c r="B16" s="88" t="s">
        <v>191</v>
      </c>
      <c r="C16" s="94" t="s">
        <v>215</v>
      </c>
      <c r="D16" s="84" t="s">
        <v>188</v>
      </c>
      <c r="E16" s="85"/>
      <c r="F16" s="85"/>
      <c r="G16" s="95" t="s">
        <v>217</v>
      </c>
    </row>
    <row r="17" spans="1:7">
      <c r="A17" s="102" t="s">
        <v>218</v>
      </c>
      <c r="B17" s="88" t="s">
        <v>191</v>
      </c>
      <c r="C17" s="89" t="s">
        <v>215</v>
      </c>
      <c r="D17" s="90" t="s">
        <v>188</v>
      </c>
      <c r="E17" s="91"/>
      <c r="F17" s="91"/>
      <c r="G17" s="92" t="s">
        <v>219</v>
      </c>
    </row>
    <row r="18" spans="1:7">
      <c r="A18" s="93" t="s">
        <v>220</v>
      </c>
      <c r="B18" s="88" t="s">
        <v>204</v>
      </c>
      <c r="C18" s="94" t="s">
        <v>79</v>
      </c>
      <c r="D18" s="84" t="s">
        <v>221</v>
      </c>
      <c r="E18" s="85"/>
      <c r="F18" s="85"/>
      <c r="G18" s="95" t="s">
        <v>222</v>
      </c>
    </row>
    <row r="19" spans="1:7">
      <c r="A19" s="87" t="s">
        <v>223</v>
      </c>
      <c r="B19" s="88" t="s">
        <v>224</v>
      </c>
      <c r="C19" s="103" t="s">
        <v>225</v>
      </c>
      <c r="D19" s="90" t="s">
        <v>188</v>
      </c>
      <c r="E19" s="91"/>
      <c r="F19" s="91"/>
      <c r="G19" s="92" t="s">
        <v>16</v>
      </c>
    </row>
    <row r="20" spans="1:7">
      <c r="A20" s="101" t="s">
        <v>226</v>
      </c>
      <c r="B20" s="88" t="s">
        <v>224</v>
      </c>
      <c r="C20" s="103" t="s">
        <v>225</v>
      </c>
      <c r="D20" s="84" t="s">
        <v>188</v>
      </c>
      <c r="E20" s="85"/>
      <c r="F20" s="85"/>
      <c r="G20" s="95" t="s">
        <v>21</v>
      </c>
    </row>
    <row r="21" spans="1:7">
      <c r="A21" s="87" t="s">
        <v>227</v>
      </c>
      <c r="B21" s="88" t="s">
        <v>228</v>
      </c>
      <c r="C21" s="103" t="s">
        <v>225</v>
      </c>
      <c r="D21" s="90" t="s">
        <v>188</v>
      </c>
      <c r="E21" s="91"/>
      <c r="F21" s="91"/>
      <c r="G21" s="92" t="s">
        <v>229</v>
      </c>
    </row>
    <row r="22" spans="1:7">
      <c r="A22" s="93" t="s">
        <v>230</v>
      </c>
      <c r="B22" s="88" t="s">
        <v>231</v>
      </c>
      <c r="C22" s="103" t="s">
        <v>225</v>
      </c>
      <c r="D22" s="84" t="s">
        <v>188</v>
      </c>
      <c r="E22" s="85"/>
      <c r="F22" s="85"/>
      <c r="G22" s="95" t="s">
        <v>77</v>
      </c>
    </row>
    <row r="23" spans="1:7">
      <c r="A23" s="102" t="s">
        <v>232</v>
      </c>
      <c r="B23" s="88" t="s">
        <v>228</v>
      </c>
      <c r="C23" s="103" t="s">
        <v>225</v>
      </c>
      <c r="D23" s="90" t="s">
        <v>221</v>
      </c>
      <c r="E23" s="91"/>
      <c r="F23" s="91"/>
      <c r="G23" s="96" t="s">
        <v>206</v>
      </c>
    </row>
    <row r="24" spans="1:7">
      <c r="A24" s="93" t="s">
        <v>233</v>
      </c>
      <c r="B24" s="88" t="s">
        <v>228</v>
      </c>
      <c r="C24" s="103" t="s">
        <v>225</v>
      </c>
      <c r="D24" s="84" t="s">
        <v>221</v>
      </c>
      <c r="E24" s="85"/>
      <c r="F24" s="85"/>
      <c r="G24" s="96" t="s">
        <v>206</v>
      </c>
    </row>
    <row r="25" spans="1:7">
      <c r="A25" s="87" t="s">
        <v>234</v>
      </c>
      <c r="B25" s="88" t="s">
        <v>224</v>
      </c>
      <c r="C25" s="103" t="s">
        <v>225</v>
      </c>
      <c r="D25" s="90" t="s">
        <v>199</v>
      </c>
      <c r="E25" s="91"/>
      <c r="F25" s="91"/>
      <c r="G25" s="96" t="s">
        <v>200</v>
      </c>
    </row>
    <row r="26" spans="1:7">
      <c r="A26" s="101" t="s">
        <v>235</v>
      </c>
      <c r="B26" s="88" t="s">
        <v>231</v>
      </c>
      <c r="C26" s="103" t="s">
        <v>225</v>
      </c>
      <c r="D26" s="84" t="s">
        <v>199</v>
      </c>
      <c r="E26" s="85"/>
      <c r="F26" s="85"/>
      <c r="G26" s="96" t="s">
        <v>200</v>
      </c>
    </row>
    <row r="27" spans="1:7">
      <c r="A27" s="102" t="s">
        <v>236</v>
      </c>
      <c r="B27" s="88" t="s">
        <v>228</v>
      </c>
      <c r="C27" s="103" t="s">
        <v>225</v>
      </c>
      <c r="D27" s="90" t="s">
        <v>199</v>
      </c>
      <c r="E27" s="91"/>
      <c r="F27" s="91"/>
      <c r="G27" s="92" t="s">
        <v>40</v>
      </c>
    </row>
    <row r="28" spans="1:7">
      <c r="A28" s="93" t="s">
        <v>237</v>
      </c>
      <c r="B28" s="88" t="s">
        <v>228</v>
      </c>
      <c r="C28" s="103" t="s">
        <v>225</v>
      </c>
      <c r="D28" s="84" t="s">
        <v>199</v>
      </c>
      <c r="E28" s="85"/>
      <c r="F28" s="85"/>
      <c r="G28" s="95" t="s">
        <v>65</v>
      </c>
    </row>
    <row r="29" spans="1:7">
      <c r="A29" s="104" t="s">
        <v>238</v>
      </c>
      <c r="B29" s="88" t="s">
        <v>204</v>
      </c>
      <c r="C29" s="103" t="s">
        <v>225</v>
      </c>
      <c r="D29" s="90" t="s">
        <v>203</v>
      </c>
      <c r="E29" s="91"/>
      <c r="F29" s="91"/>
      <c r="G29" s="96" t="s">
        <v>200</v>
      </c>
    </row>
    <row r="30" spans="1:7">
      <c r="A30" s="93" t="s">
        <v>239</v>
      </c>
      <c r="B30" s="88" t="s">
        <v>231</v>
      </c>
      <c r="C30" s="103" t="s">
        <v>225</v>
      </c>
      <c r="D30" s="84" t="s">
        <v>203</v>
      </c>
      <c r="E30" s="85"/>
      <c r="F30" s="85"/>
      <c r="G30" s="96" t="s">
        <v>200</v>
      </c>
    </row>
    <row r="31" spans="1:7">
      <c r="A31" s="102" t="s">
        <v>240</v>
      </c>
      <c r="B31" s="88" t="s">
        <v>231</v>
      </c>
      <c r="C31" s="103" t="s">
        <v>225</v>
      </c>
      <c r="D31" s="90" t="s">
        <v>203</v>
      </c>
      <c r="E31" s="91"/>
      <c r="F31" s="91"/>
      <c r="G31" s="96" t="s">
        <v>200</v>
      </c>
    </row>
    <row r="32" spans="1:7">
      <c r="A32" s="93" t="s">
        <v>241</v>
      </c>
      <c r="B32" s="88" t="s">
        <v>204</v>
      </c>
      <c r="C32" s="94" t="s">
        <v>71</v>
      </c>
      <c r="D32" s="84" t="s">
        <v>221</v>
      </c>
      <c r="E32" s="85"/>
      <c r="F32" s="85"/>
      <c r="G32" s="96" t="s">
        <v>206</v>
      </c>
    </row>
    <row r="33" spans="1:7">
      <c r="A33" s="105" t="s">
        <v>242</v>
      </c>
      <c r="B33" s="106" t="s">
        <v>204</v>
      </c>
      <c r="C33" s="107" t="s">
        <v>76</v>
      </c>
      <c r="D33" s="108" t="s">
        <v>188</v>
      </c>
      <c r="E33" s="109"/>
      <c r="F33" s="109"/>
      <c r="G33" s="110" t="s">
        <v>206</v>
      </c>
    </row>
    <row r="34" spans="1:7">
      <c r="D34" s="80"/>
    </row>
    <row r="35" spans="1:7">
      <c r="D35" s="80"/>
    </row>
    <row r="36" spans="1:7">
      <c r="D36" s="80"/>
    </row>
    <row r="37" spans="1:7">
      <c r="D37" s="80"/>
    </row>
    <row r="38" spans="1:7">
      <c r="D38" s="80"/>
    </row>
    <row r="39" spans="1:7">
      <c r="D39" s="80"/>
    </row>
    <row r="40" spans="1:7">
      <c r="D40" s="80"/>
    </row>
    <row r="41" spans="1:7">
      <c r="D41" s="80"/>
    </row>
    <row r="42" spans="1:7">
      <c r="D42" s="80"/>
    </row>
    <row r="43" spans="1:7">
      <c r="D43" s="80"/>
    </row>
    <row r="44" spans="1:7">
      <c r="D44" s="80"/>
    </row>
    <row r="45" spans="1:7">
      <c r="D45" s="80"/>
    </row>
    <row r="46" spans="1:7">
      <c r="D46" s="80"/>
    </row>
    <row r="47" spans="1:7">
      <c r="D47" s="80"/>
    </row>
    <row r="48" spans="1:7">
      <c r="D48" s="80"/>
    </row>
    <row r="49" spans="4:4">
      <c r="D49" s="80"/>
    </row>
    <row r="50" spans="4:4">
      <c r="D50" s="80"/>
    </row>
    <row r="51" spans="4:4">
      <c r="D51" s="80"/>
    </row>
    <row r="52" spans="4:4">
      <c r="D52" s="80"/>
    </row>
    <row r="53" spans="4:4">
      <c r="D53" s="80"/>
    </row>
    <row r="54" spans="4:4">
      <c r="D54" s="80"/>
    </row>
    <row r="55" spans="4:4">
      <c r="D55" s="80"/>
    </row>
    <row r="56" spans="4:4">
      <c r="D56" s="80"/>
    </row>
    <row r="57" spans="4:4">
      <c r="D57" s="80"/>
    </row>
    <row r="58" spans="4:4">
      <c r="D58" s="80"/>
    </row>
    <row r="59" spans="4:4">
      <c r="D59" s="80"/>
    </row>
    <row r="60" spans="4:4">
      <c r="D60" s="80"/>
    </row>
    <row r="61" spans="4:4">
      <c r="D61" s="80"/>
    </row>
    <row r="62" spans="4:4">
      <c r="D62" s="80"/>
    </row>
    <row r="63" spans="4:4">
      <c r="D63" s="80"/>
    </row>
    <row r="64" spans="4:4">
      <c r="D64" s="80"/>
    </row>
    <row r="65" spans="4:4">
      <c r="D65" s="80"/>
    </row>
    <row r="66" spans="4:4">
      <c r="D66" s="80"/>
    </row>
    <row r="67" spans="4:4">
      <c r="D67" s="80"/>
    </row>
    <row r="68" spans="4:4">
      <c r="D68" s="80"/>
    </row>
    <row r="69" spans="4:4">
      <c r="D69" s="80"/>
    </row>
    <row r="70" spans="4:4">
      <c r="D70" s="80"/>
    </row>
    <row r="71" spans="4:4">
      <c r="D71" s="80"/>
    </row>
    <row r="72" spans="4:4">
      <c r="D72" s="80"/>
    </row>
    <row r="73" spans="4:4">
      <c r="D73" s="80"/>
    </row>
    <row r="74" spans="4:4">
      <c r="D74" s="80"/>
    </row>
    <row r="75" spans="4:4">
      <c r="D75" s="80"/>
    </row>
    <row r="76" spans="4:4">
      <c r="D76" s="80"/>
    </row>
    <row r="77" spans="4:4">
      <c r="D77" s="80"/>
    </row>
    <row r="78" spans="4:4">
      <c r="D78" s="80"/>
    </row>
    <row r="79" spans="4:4">
      <c r="D79" s="80"/>
    </row>
    <row r="80" spans="4:4">
      <c r="D80" s="80"/>
    </row>
    <row r="81" spans="4:4">
      <c r="D81" s="80"/>
    </row>
    <row r="82" spans="4:4">
      <c r="D82" s="80"/>
    </row>
    <row r="83" spans="4:4">
      <c r="D83" s="80"/>
    </row>
    <row r="84" spans="4:4">
      <c r="D84" s="80"/>
    </row>
    <row r="85" spans="4:4">
      <c r="D85" s="80"/>
    </row>
    <row r="86" spans="4:4">
      <c r="D86" s="80"/>
    </row>
    <row r="87" spans="4:4">
      <c r="D87" s="80"/>
    </row>
    <row r="88" spans="4:4">
      <c r="D88" s="80"/>
    </row>
    <row r="89" spans="4:4">
      <c r="D89" s="80"/>
    </row>
    <row r="90" spans="4:4">
      <c r="D90" s="80"/>
    </row>
    <row r="91" spans="4:4">
      <c r="D91" s="80"/>
    </row>
    <row r="92" spans="4:4">
      <c r="D92" s="80"/>
    </row>
    <row r="93" spans="4:4">
      <c r="D93" s="80"/>
    </row>
    <row r="94" spans="4:4">
      <c r="D94" s="80"/>
    </row>
    <row r="95" spans="4:4">
      <c r="D95" s="80"/>
    </row>
    <row r="96" spans="4:4">
      <c r="D96" s="80"/>
    </row>
    <row r="97" spans="4:4">
      <c r="D97" s="80"/>
    </row>
    <row r="98" spans="4:4">
      <c r="D98" s="80"/>
    </row>
    <row r="99" spans="4:4">
      <c r="D99" s="80"/>
    </row>
    <row r="100" spans="4:4">
      <c r="D100" s="80"/>
    </row>
    <row r="101" spans="4:4">
      <c r="D101" s="80"/>
    </row>
    <row r="102" spans="4:4">
      <c r="D102" s="80"/>
    </row>
    <row r="103" spans="4:4">
      <c r="D103" s="80"/>
    </row>
    <row r="104" spans="4:4">
      <c r="D104" s="80"/>
    </row>
    <row r="105" spans="4:4">
      <c r="D105" s="80"/>
    </row>
    <row r="106" spans="4:4">
      <c r="D106" s="80"/>
    </row>
    <row r="107" spans="4:4">
      <c r="D107" s="80"/>
    </row>
    <row r="108" spans="4:4">
      <c r="D108" s="80"/>
    </row>
    <row r="109" spans="4:4">
      <c r="D109" s="80"/>
    </row>
    <row r="110" spans="4:4">
      <c r="D110" s="80"/>
    </row>
    <row r="111" spans="4:4">
      <c r="D111" s="80"/>
    </row>
    <row r="112" spans="4:4">
      <c r="D112" s="80"/>
    </row>
    <row r="113" spans="4:4">
      <c r="D113" s="80"/>
    </row>
    <row r="114" spans="4:4">
      <c r="D114" s="80"/>
    </row>
    <row r="115" spans="4:4">
      <c r="D115" s="80"/>
    </row>
    <row r="116" spans="4:4">
      <c r="D116" s="80"/>
    </row>
    <row r="117" spans="4:4">
      <c r="D117" s="80"/>
    </row>
    <row r="118" spans="4:4">
      <c r="D118" s="80"/>
    </row>
    <row r="119" spans="4:4">
      <c r="D119" s="80"/>
    </row>
    <row r="120" spans="4:4">
      <c r="D120" s="80"/>
    </row>
    <row r="121" spans="4:4">
      <c r="D121" s="80"/>
    </row>
    <row r="122" spans="4:4">
      <c r="D122" s="80"/>
    </row>
    <row r="123" spans="4:4">
      <c r="D123" s="80"/>
    </row>
    <row r="124" spans="4:4">
      <c r="D124" s="80"/>
    </row>
    <row r="125" spans="4:4">
      <c r="D125" s="80"/>
    </row>
    <row r="126" spans="4:4">
      <c r="D126" s="80"/>
    </row>
    <row r="127" spans="4:4">
      <c r="D127" s="80"/>
    </row>
    <row r="128" spans="4:4">
      <c r="D128" s="80"/>
    </row>
    <row r="129" spans="4:4">
      <c r="D129" s="80"/>
    </row>
    <row r="130" spans="4:4">
      <c r="D130" s="80"/>
    </row>
    <row r="131" spans="4:4">
      <c r="D131" s="80"/>
    </row>
    <row r="132" spans="4:4">
      <c r="D132" s="80"/>
    </row>
    <row r="133" spans="4:4">
      <c r="D133" s="80"/>
    </row>
    <row r="134" spans="4:4">
      <c r="D134" s="80"/>
    </row>
    <row r="135" spans="4:4">
      <c r="D135" s="80"/>
    </row>
    <row r="136" spans="4:4">
      <c r="D136" s="80"/>
    </row>
    <row r="137" spans="4:4">
      <c r="D137" s="80"/>
    </row>
    <row r="138" spans="4:4">
      <c r="D138" s="80"/>
    </row>
    <row r="139" spans="4:4">
      <c r="D139" s="80"/>
    </row>
    <row r="140" spans="4:4">
      <c r="D140" s="80"/>
    </row>
    <row r="141" spans="4:4">
      <c r="D141" s="80"/>
    </row>
    <row r="142" spans="4:4">
      <c r="D142" s="80"/>
    </row>
    <row r="143" spans="4:4">
      <c r="D143" s="80"/>
    </row>
    <row r="144" spans="4:4">
      <c r="D144" s="80"/>
    </row>
    <row r="145" spans="4:4">
      <c r="D145" s="80"/>
    </row>
    <row r="146" spans="4:4">
      <c r="D146" s="80"/>
    </row>
    <row r="147" spans="4:4">
      <c r="D147" s="80"/>
    </row>
    <row r="148" spans="4:4">
      <c r="D148" s="80"/>
    </row>
    <row r="149" spans="4:4">
      <c r="D149" s="80"/>
    </row>
    <row r="150" spans="4:4">
      <c r="D150" s="80"/>
    </row>
    <row r="151" spans="4:4">
      <c r="D151" s="80"/>
    </row>
    <row r="152" spans="4:4">
      <c r="D152" s="80"/>
    </row>
    <row r="153" spans="4:4">
      <c r="D153" s="80"/>
    </row>
    <row r="154" spans="4:4">
      <c r="D154" s="80"/>
    </row>
    <row r="155" spans="4:4">
      <c r="D155" s="80"/>
    </row>
    <row r="156" spans="4:4">
      <c r="D156" s="80"/>
    </row>
    <row r="157" spans="4:4">
      <c r="D157" s="80"/>
    </row>
    <row r="158" spans="4:4">
      <c r="D158" s="80"/>
    </row>
    <row r="159" spans="4:4">
      <c r="D159" s="80"/>
    </row>
    <row r="160" spans="4:4">
      <c r="D160" s="80"/>
    </row>
    <row r="161" spans="4:4">
      <c r="D161" s="80"/>
    </row>
    <row r="162" spans="4:4">
      <c r="D162" s="80"/>
    </row>
    <row r="163" spans="4:4">
      <c r="D163" s="80"/>
    </row>
    <row r="164" spans="4:4">
      <c r="D164" s="80"/>
    </row>
    <row r="165" spans="4:4">
      <c r="D165" s="80"/>
    </row>
    <row r="166" spans="4:4">
      <c r="D166" s="80"/>
    </row>
    <row r="167" spans="4:4">
      <c r="D167" s="80"/>
    </row>
    <row r="168" spans="4:4">
      <c r="D168" s="80"/>
    </row>
    <row r="169" spans="4:4">
      <c r="D169" s="80"/>
    </row>
    <row r="170" spans="4:4">
      <c r="D170" s="80"/>
    </row>
    <row r="171" spans="4:4">
      <c r="D171" s="80"/>
    </row>
    <row r="172" spans="4:4">
      <c r="D172" s="80"/>
    </row>
    <row r="173" spans="4:4">
      <c r="D173" s="80"/>
    </row>
    <row r="174" spans="4:4">
      <c r="D174" s="80"/>
    </row>
    <row r="175" spans="4:4">
      <c r="D175" s="80"/>
    </row>
    <row r="176" spans="4:4">
      <c r="D176" s="80"/>
    </row>
    <row r="177" spans="4:4">
      <c r="D177" s="80"/>
    </row>
    <row r="178" spans="4:4">
      <c r="D178" s="80"/>
    </row>
    <row r="179" spans="4:4">
      <c r="D179" s="80"/>
    </row>
    <row r="180" spans="4:4">
      <c r="D180" s="80"/>
    </row>
    <row r="181" spans="4:4">
      <c r="D181" s="80"/>
    </row>
    <row r="182" spans="4:4">
      <c r="D182" s="80"/>
    </row>
    <row r="183" spans="4:4">
      <c r="D183" s="80"/>
    </row>
    <row r="184" spans="4:4">
      <c r="D184" s="80"/>
    </row>
    <row r="185" spans="4:4">
      <c r="D185" s="80"/>
    </row>
    <row r="186" spans="4:4">
      <c r="D186" s="80"/>
    </row>
    <row r="187" spans="4:4">
      <c r="D187" s="80"/>
    </row>
    <row r="188" spans="4:4">
      <c r="D188" s="80"/>
    </row>
    <row r="189" spans="4:4">
      <c r="D189" s="80"/>
    </row>
    <row r="190" spans="4:4">
      <c r="D190" s="80"/>
    </row>
    <row r="191" spans="4:4">
      <c r="D191" s="80"/>
    </row>
    <row r="192" spans="4:4">
      <c r="D192" s="80"/>
    </row>
    <row r="193" spans="4:4">
      <c r="D193" s="80"/>
    </row>
    <row r="194" spans="4:4">
      <c r="D194" s="80"/>
    </row>
    <row r="195" spans="4:4">
      <c r="D195" s="80"/>
    </row>
    <row r="196" spans="4:4">
      <c r="D196" s="80"/>
    </row>
    <row r="197" spans="4:4">
      <c r="D197" s="80"/>
    </row>
    <row r="198" spans="4:4">
      <c r="D198" s="80"/>
    </row>
    <row r="199" spans="4:4">
      <c r="D199" s="80"/>
    </row>
    <row r="200" spans="4:4">
      <c r="D200" s="80"/>
    </row>
    <row r="201" spans="4:4">
      <c r="D201" s="80"/>
    </row>
    <row r="202" spans="4:4">
      <c r="D202" s="80"/>
    </row>
    <row r="203" spans="4:4">
      <c r="D203" s="80"/>
    </row>
    <row r="204" spans="4:4">
      <c r="D204" s="80"/>
    </row>
    <row r="205" spans="4:4">
      <c r="D205" s="80"/>
    </row>
    <row r="206" spans="4:4">
      <c r="D206" s="80"/>
    </row>
    <row r="207" spans="4:4">
      <c r="D207" s="80"/>
    </row>
    <row r="208" spans="4:4">
      <c r="D208" s="80"/>
    </row>
    <row r="209" spans="4:4">
      <c r="D209" s="80"/>
    </row>
    <row r="210" spans="4:4">
      <c r="D210" s="80"/>
    </row>
    <row r="211" spans="4:4">
      <c r="D211" s="80"/>
    </row>
    <row r="212" spans="4:4">
      <c r="D212" s="80"/>
    </row>
    <row r="213" spans="4:4">
      <c r="D213" s="80"/>
    </row>
    <row r="214" spans="4:4">
      <c r="D214" s="80"/>
    </row>
    <row r="215" spans="4:4">
      <c r="D215" s="80"/>
    </row>
    <row r="216" spans="4:4">
      <c r="D216" s="80"/>
    </row>
    <row r="217" spans="4:4">
      <c r="D217" s="80"/>
    </row>
    <row r="218" spans="4:4">
      <c r="D218" s="80"/>
    </row>
    <row r="219" spans="4:4">
      <c r="D219" s="80"/>
    </row>
    <row r="220" spans="4:4">
      <c r="D220" s="80"/>
    </row>
    <row r="221" spans="4:4">
      <c r="D221" s="80"/>
    </row>
    <row r="222" spans="4:4">
      <c r="D222" s="80"/>
    </row>
    <row r="223" spans="4:4">
      <c r="D223" s="80"/>
    </row>
    <row r="224" spans="4:4">
      <c r="D224" s="80"/>
    </row>
    <row r="225" spans="4:4">
      <c r="D225" s="80"/>
    </row>
    <row r="226" spans="4:4">
      <c r="D226" s="80"/>
    </row>
    <row r="227" spans="4:4">
      <c r="D227" s="80"/>
    </row>
    <row r="228" spans="4:4">
      <c r="D228" s="80"/>
    </row>
    <row r="229" spans="4:4">
      <c r="D229" s="80"/>
    </row>
    <row r="230" spans="4:4">
      <c r="D230" s="80"/>
    </row>
    <row r="231" spans="4:4">
      <c r="D231" s="80"/>
    </row>
    <row r="232" spans="4:4">
      <c r="D232" s="80"/>
    </row>
    <row r="233" spans="4:4">
      <c r="D233" s="80"/>
    </row>
    <row r="234" spans="4:4">
      <c r="D234" s="80"/>
    </row>
    <row r="235" spans="4:4">
      <c r="D235" s="80"/>
    </row>
    <row r="236" spans="4:4">
      <c r="D236" s="80"/>
    </row>
    <row r="237" spans="4:4">
      <c r="D237" s="80"/>
    </row>
    <row r="238" spans="4:4">
      <c r="D238" s="80"/>
    </row>
    <row r="239" spans="4:4">
      <c r="D239" s="80"/>
    </row>
    <row r="240" spans="4:4">
      <c r="D240" s="80"/>
    </row>
    <row r="241" spans="4:4">
      <c r="D241" s="80"/>
    </row>
    <row r="242" spans="4:4">
      <c r="D242" s="80"/>
    </row>
    <row r="243" spans="4:4">
      <c r="D243" s="80"/>
    </row>
    <row r="244" spans="4:4">
      <c r="D244" s="80"/>
    </row>
    <row r="245" spans="4:4">
      <c r="D245" s="80"/>
    </row>
    <row r="246" spans="4:4">
      <c r="D246" s="80"/>
    </row>
    <row r="247" spans="4:4">
      <c r="D247" s="80"/>
    </row>
    <row r="248" spans="4:4">
      <c r="D248" s="80"/>
    </row>
    <row r="249" spans="4:4">
      <c r="D249" s="80"/>
    </row>
    <row r="250" spans="4:4">
      <c r="D250" s="80"/>
    </row>
    <row r="251" spans="4:4">
      <c r="D251" s="80"/>
    </row>
    <row r="252" spans="4:4">
      <c r="D252" s="80"/>
    </row>
    <row r="253" spans="4:4">
      <c r="D253" s="80"/>
    </row>
    <row r="254" spans="4:4">
      <c r="D254" s="80"/>
    </row>
    <row r="255" spans="4:4">
      <c r="D255" s="80"/>
    </row>
    <row r="256" spans="4:4">
      <c r="D256" s="80"/>
    </row>
    <row r="257" spans="4:4">
      <c r="D257" s="80"/>
    </row>
    <row r="258" spans="4:4">
      <c r="D258" s="80"/>
    </row>
    <row r="259" spans="4:4">
      <c r="D259" s="80"/>
    </row>
    <row r="260" spans="4:4">
      <c r="D260" s="80"/>
    </row>
    <row r="261" spans="4:4">
      <c r="D261" s="80"/>
    </row>
    <row r="262" spans="4:4">
      <c r="D262" s="80"/>
    </row>
    <row r="263" spans="4:4">
      <c r="D263" s="80"/>
    </row>
    <row r="264" spans="4:4">
      <c r="D264" s="80"/>
    </row>
    <row r="265" spans="4:4">
      <c r="D265" s="80"/>
    </row>
    <row r="266" spans="4:4">
      <c r="D266" s="80"/>
    </row>
    <row r="267" spans="4:4">
      <c r="D267" s="80"/>
    </row>
    <row r="268" spans="4:4">
      <c r="D268" s="80"/>
    </row>
    <row r="269" spans="4:4">
      <c r="D269" s="80"/>
    </row>
    <row r="270" spans="4:4">
      <c r="D270" s="80"/>
    </row>
    <row r="271" spans="4:4">
      <c r="D271" s="80"/>
    </row>
    <row r="272" spans="4:4">
      <c r="D272" s="80"/>
    </row>
    <row r="273" spans="4:4">
      <c r="D273" s="80"/>
    </row>
    <row r="274" spans="4:4">
      <c r="D274" s="80"/>
    </row>
    <row r="275" spans="4:4">
      <c r="D275" s="80"/>
    </row>
    <row r="276" spans="4:4">
      <c r="D276" s="80"/>
    </row>
    <row r="277" spans="4:4">
      <c r="D277" s="80"/>
    </row>
    <row r="278" spans="4:4">
      <c r="D278" s="80"/>
    </row>
    <row r="279" spans="4:4">
      <c r="D279" s="80"/>
    </row>
    <row r="280" spans="4:4">
      <c r="D280" s="80"/>
    </row>
    <row r="281" spans="4:4">
      <c r="D281" s="80"/>
    </row>
    <row r="282" spans="4:4">
      <c r="D282" s="80"/>
    </row>
    <row r="283" spans="4:4">
      <c r="D283" s="80"/>
    </row>
    <row r="284" spans="4:4">
      <c r="D284" s="80"/>
    </row>
    <row r="285" spans="4:4">
      <c r="D285" s="80"/>
    </row>
    <row r="286" spans="4:4">
      <c r="D286" s="80"/>
    </row>
    <row r="287" spans="4:4">
      <c r="D287" s="80"/>
    </row>
    <row r="288" spans="4:4">
      <c r="D288" s="80"/>
    </row>
    <row r="289" spans="4:4">
      <c r="D289" s="80"/>
    </row>
    <row r="290" spans="4:4">
      <c r="D290" s="80"/>
    </row>
    <row r="291" spans="4:4">
      <c r="D291" s="80"/>
    </row>
    <row r="292" spans="4:4">
      <c r="D292" s="80"/>
    </row>
    <row r="293" spans="4:4">
      <c r="D293" s="80"/>
    </row>
    <row r="294" spans="4:4">
      <c r="D294" s="80"/>
    </row>
    <row r="295" spans="4:4">
      <c r="D295" s="80"/>
    </row>
    <row r="296" spans="4:4">
      <c r="D296" s="80"/>
    </row>
    <row r="297" spans="4:4">
      <c r="D297" s="80"/>
    </row>
    <row r="298" spans="4:4">
      <c r="D298" s="80"/>
    </row>
    <row r="299" spans="4:4">
      <c r="D299" s="80"/>
    </row>
    <row r="300" spans="4:4">
      <c r="D300" s="80"/>
    </row>
    <row r="301" spans="4:4">
      <c r="D301" s="80"/>
    </row>
    <row r="302" spans="4:4">
      <c r="D302" s="80"/>
    </row>
    <row r="303" spans="4:4">
      <c r="D303" s="80"/>
    </row>
    <row r="304" spans="4:4">
      <c r="D304" s="80"/>
    </row>
    <row r="305" spans="4:4">
      <c r="D305" s="80"/>
    </row>
    <row r="306" spans="4:4">
      <c r="D306" s="80"/>
    </row>
    <row r="307" spans="4:4">
      <c r="D307" s="80"/>
    </row>
    <row r="308" spans="4:4">
      <c r="D308" s="80"/>
    </row>
    <row r="309" spans="4:4">
      <c r="D309" s="80"/>
    </row>
    <row r="310" spans="4:4">
      <c r="D310" s="80"/>
    </row>
    <row r="311" spans="4:4">
      <c r="D311" s="80"/>
    </row>
    <row r="312" spans="4:4">
      <c r="D312" s="80"/>
    </row>
    <row r="313" spans="4:4">
      <c r="D313" s="80"/>
    </row>
    <row r="314" spans="4:4">
      <c r="D314" s="80"/>
    </row>
    <row r="315" spans="4:4">
      <c r="D315" s="80"/>
    </row>
    <row r="316" spans="4:4">
      <c r="D316" s="80"/>
    </row>
    <row r="317" spans="4:4">
      <c r="D317" s="80"/>
    </row>
    <row r="318" spans="4:4">
      <c r="D318" s="80"/>
    </row>
    <row r="319" spans="4:4">
      <c r="D319" s="80"/>
    </row>
    <row r="320" spans="4:4">
      <c r="D320" s="80"/>
    </row>
    <row r="321" spans="4:4">
      <c r="D321" s="80"/>
    </row>
    <row r="322" spans="4:4">
      <c r="D322" s="80"/>
    </row>
    <row r="323" spans="4:4">
      <c r="D323" s="80"/>
    </row>
    <row r="324" spans="4:4">
      <c r="D324" s="80"/>
    </row>
    <row r="325" spans="4:4">
      <c r="D325" s="80"/>
    </row>
    <row r="326" spans="4:4">
      <c r="D326" s="80"/>
    </row>
    <row r="327" spans="4:4">
      <c r="D327" s="80"/>
    </row>
    <row r="328" spans="4:4">
      <c r="D328" s="80"/>
    </row>
    <row r="329" spans="4:4">
      <c r="D329" s="80"/>
    </row>
    <row r="330" spans="4:4">
      <c r="D330" s="80"/>
    </row>
    <row r="331" spans="4:4">
      <c r="D331" s="80"/>
    </row>
    <row r="332" spans="4:4">
      <c r="D332" s="80"/>
    </row>
    <row r="333" spans="4:4">
      <c r="D333" s="80"/>
    </row>
    <row r="334" spans="4:4">
      <c r="D334" s="80"/>
    </row>
    <row r="335" spans="4:4">
      <c r="D335" s="80"/>
    </row>
    <row r="336" spans="4:4">
      <c r="D336" s="80"/>
    </row>
    <row r="337" spans="4:4">
      <c r="D337" s="80"/>
    </row>
    <row r="338" spans="4:4">
      <c r="D338" s="80"/>
    </row>
    <row r="339" spans="4:4">
      <c r="D339" s="80"/>
    </row>
    <row r="340" spans="4:4">
      <c r="D340" s="80"/>
    </row>
    <row r="341" spans="4:4">
      <c r="D341" s="80"/>
    </row>
    <row r="342" spans="4:4">
      <c r="D342" s="80"/>
    </row>
    <row r="343" spans="4:4">
      <c r="D343" s="80"/>
    </row>
    <row r="344" spans="4:4">
      <c r="D344" s="80"/>
    </row>
    <row r="345" spans="4:4">
      <c r="D345" s="80"/>
    </row>
    <row r="346" spans="4:4">
      <c r="D346" s="80"/>
    </row>
    <row r="347" spans="4:4">
      <c r="D347" s="80"/>
    </row>
    <row r="348" spans="4:4">
      <c r="D348" s="80"/>
    </row>
    <row r="349" spans="4:4">
      <c r="D349" s="80"/>
    </row>
    <row r="350" spans="4:4">
      <c r="D350" s="80"/>
    </row>
    <row r="351" spans="4:4">
      <c r="D351" s="80"/>
    </row>
    <row r="352" spans="4:4">
      <c r="D352" s="80"/>
    </row>
    <row r="353" spans="4:4">
      <c r="D353" s="80"/>
    </row>
    <row r="354" spans="4:4">
      <c r="D354" s="80"/>
    </row>
    <row r="355" spans="4:4">
      <c r="D355" s="80"/>
    </row>
    <row r="356" spans="4:4">
      <c r="D356" s="80"/>
    </row>
    <row r="357" spans="4:4">
      <c r="D357" s="80"/>
    </row>
    <row r="358" spans="4:4">
      <c r="D358" s="80"/>
    </row>
    <row r="359" spans="4:4">
      <c r="D359" s="80"/>
    </row>
    <row r="360" spans="4:4">
      <c r="D360" s="80"/>
    </row>
    <row r="361" spans="4:4">
      <c r="D361" s="80"/>
    </row>
    <row r="362" spans="4:4">
      <c r="D362" s="80"/>
    </row>
    <row r="363" spans="4:4">
      <c r="D363" s="80"/>
    </row>
    <row r="364" spans="4:4">
      <c r="D364" s="80"/>
    </row>
    <row r="365" spans="4:4">
      <c r="D365" s="80"/>
    </row>
    <row r="366" spans="4:4">
      <c r="D366" s="80"/>
    </row>
    <row r="367" spans="4:4">
      <c r="D367" s="80"/>
    </row>
    <row r="368" spans="4:4">
      <c r="D368" s="80"/>
    </row>
    <row r="369" spans="4:4">
      <c r="D369" s="80"/>
    </row>
    <row r="370" spans="4:4">
      <c r="D370" s="80"/>
    </row>
    <row r="371" spans="4:4">
      <c r="D371" s="80"/>
    </row>
    <row r="372" spans="4:4">
      <c r="D372" s="80"/>
    </row>
    <row r="373" spans="4:4">
      <c r="D373" s="80"/>
    </row>
    <row r="374" spans="4:4">
      <c r="D374" s="80"/>
    </row>
    <row r="375" spans="4:4">
      <c r="D375" s="80"/>
    </row>
    <row r="376" spans="4:4">
      <c r="D376" s="80"/>
    </row>
    <row r="377" spans="4:4">
      <c r="D377" s="80"/>
    </row>
    <row r="378" spans="4:4">
      <c r="D378" s="80"/>
    </row>
    <row r="379" spans="4:4">
      <c r="D379" s="80"/>
    </row>
    <row r="380" spans="4:4">
      <c r="D380" s="80"/>
    </row>
    <row r="381" spans="4:4">
      <c r="D381" s="80"/>
    </row>
    <row r="382" spans="4:4">
      <c r="D382" s="80"/>
    </row>
    <row r="383" spans="4:4">
      <c r="D383" s="80"/>
    </row>
    <row r="384" spans="4:4">
      <c r="D384" s="80"/>
    </row>
    <row r="385" spans="4:4">
      <c r="D385" s="80"/>
    </row>
    <row r="386" spans="4:4">
      <c r="D386" s="80"/>
    </row>
    <row r="387" spans="4:4">
      <c r="D387" s="80"/>
    </row>
    <row r="388" spans="4:4">
      <c r="D388" s="80"/>
    </row>
    <row r="389" spans="4:4">
      <c r="D389" s="80"/>
    </row>
    <row r="390" spans="4:4">
      <c r="D390" s="80"/>
    </row>
    <row r="391" spans="4:4">
      <c r="D391" s="80"/>
    </row>
    <row r="392" spans="4:4">
      <c r="D392" s="80"/>
    </row>
    <row r="393" spans="4:4">
      <c r="D393" s="80"/>
    </row>
    <row r="394" spans="4:4">
      <c r="D394" s="80"/>
    </row>
    <row r="395" spans="4:4">
      <c r="D395" s="80"/>
    </row>
    <row r="396" spans="4:4">
      <c r="D396" s="80"/>
    </row>
    <row r="397" spans="4:4">
      <c r="D397" s="80"/>
    </row>
    <row r="398" spans="4:4">
      <c r="D398" s="80"/>
    </row>
    <row r="399" spans="4:4">
      <c r="D399" s="80"/>
    </row>
    <row r="400" spans="4:4">
      <c r="D400" s="80"/>
    </row>
    <row r="401" spans="4:4">
      <c r="D401" s="80"/>
    </row>
    <row r="402" spans="4:4">
      <c r="D402" s="80"/>
    </row>
    <row r="403" spans="4:4">
      <c r="D403" s="80"/>
    </row>
    <row r="404" spans="4:4">
      <c r="D404" s="80"/>
    </row>
    <row r="405" spans="4:4">
      <c r="D405" s="80"/>
    </row>
    <row r="406" spans="4:4">
      <c r="D406" s="80"/>
    </row>
    <row r="407" spans="4:4">
      <c r="D407" s="80"/>
    </row>
    <row r="408" spans="4:4">
      <c r="D408" s="80"/>
    </row>
    <row r="409" spans="4:4">
      <c r="D409" s="80"/>
    </row>
    <row r="410" spans="4:4">
      <c r="D410" s="80"/>
    </row>
    <row r="411" spans="4:4">
      <c r="D411" s="80"/>
    </row>
    <row r="412" spans="4:4">
      <c r="D412" s="80"/>
    </row>
    <row r="413" spans="4:4">
      <c r="D413" s="80"/>
    </row>
    <row r="414" spans="4:4">
      <c r="D414" s="80"/>
    </row>
    <row r="415" spans="4:4">
      <c r="D415" s="80"/>
    </row>
    <row r="416" spans="4:4">
      <c r="D416" s="80"/>
    </row>
    <row r="417" spans="4:4">
      <c r="D417" s="80"/>
    </row>
    <row r="418" spans="4:4">
      <c r="D418" s="80"/>
    </row>
    <row r="419" spans="4:4">
      <c r="D419" s="80"/>
    </row>
    <row r="420" spans="4:4">
      <c r="D420" s="80"/>
    </row>
    <row r="421" spans="4:4">
      <c r="D421" s="80"/>
    </row>
    <row r="422" spans="4:4">
      <c r="D422" s="80"/>
    </row>
    <row r="423" spans="4:4">
      <c r="D423" s="80"/>
    </row>
    <row r="424" spans="4:4">
      <c r="D424" s="80"/>
    </row>
    <row r="425" spans="4:4">
      <c r="D425" s="80"/>
    </row>
    <row r="426" spans="4:4">
      <c r="D426" s="80"/>
    </row>
    <row r="427" spans="4:4">
      <c r="D427" s="80"/>
    </row>
    <row r="428" spans="4:4">
      <c r="D428" s="80"/>
    </row>
    <row r="429" spans="4:4">
      <c r="D429" s="80"/>
    </row>
    <row r="430" spans="4:4">
      <c r="D430" s="80"/>
    </row>
    <row r="431" spans="4:4">
      <c r="D431" s="80"/>
    </row>
    <row r="432" spans="4:4">
      <c r="D432" s="80"/>
    </row>
    <row r="433" spans="4:4">
      <c r="D433" s="80"/>
    </row>
    <row r="434" spans="4:4">
      <c r="D434" s="80"/>
    </row>
    <row r="435" spans="4:4">
      <c r="D435" s="80"/>
    </row>
    <row r="436" spans="4:4">
      <c r="D436" s="80"/>
    </row>
    <row r="437" spans="4:4">
      <c r="D437" s="80"/>
    </row>
    <row r="438" spans="4:4">
      <c r="D438" s="80"/>
    </row>
    <row r="439" spans="4:4">
      <c r="D439" s="80"/>
    </row>
    <row r="440" spans="4:4">
      <c r="D440" s="80"/>
    </row>
    <row r="441" spans="4:4">
      <c r="D441" s="80"/>
    </row>
    <row r="442" spans="4:4">
      <c r="D442" s="80"/>
    </row>
    <row r="443" spans="4:4">
      <c r="D443" s="80"/>
    </row>
    <row r="444" spans="4:4">
      <c r="D444" s="80"/>
    </row>
    <row r="445" spans="4:4">
      <c r="D445" s="80"/>
    </row>
    <row r="446" spans="4:4">
      <c r="D446" s="80"/>
    </row>
    <row r="447" spans="4:4">
      <c r="D447" s="80"/>
    </row>
    <row r="448" spans="4:4">
      <c r="D448" s="80"/>
    </row>
    <row r="449" spans="4:4">
      <c r="D449" s="80"/>
    </row>
    <row r="450" spans="4:4">
      <c r="D450" s="80"/>
    </row>
    <row r="451" spans="4:4">
      <c r="D451" s="80"/>
    </row>
    <row r="452" spans="4:4">
      <c r="D452" s="80"/>
    </row>
    <row r="453" spans="4:4">
      <c r="D453" s="80"/>
    </row>
    <row r="454" spans="4:4">
      <c r="D454" s="80"/>
    </row>
    <row r="455" spans="4:4">
      <c r="D455" s="80"/>
    </row>
    <row r="456" spans="4:4">
      <c r="D456" s="80"/>
    </row>
    <row r="457" spans="4:4">
      <c r="D457" s="80"/>
    </row>
    <row r="458" spans="4:4">
      <c r="D458" s="80"/>
    </row>
    <row r="459" spans="4:4">
      <c r="D459" s="80"/>
    </row>
    <row r="460" spans="4:4">
      <c r="D460" s="80"/>
    </row>
    <row r="461" spans="4:4">
      <c r="D461" s="80"/>
    </row>
    <row r="462" spans="4:4">
      <c r="D462" s="80"/>
    </row>
    <row r="463" spans="4:4">
      <c r="D463" s="80"/>
    </row>
    <row r="464" spans="4:4">
      <c r="D464" s="80"/>
    </row>
    <row r="465" spans="4:4">
      <c r="D465" s="80"/>
    </row>
    <row r="466" spans="4:4">
      <c r="D466" s="80"/>
    </row>
    <row r="467" spans="4:4">
      <c r="D467" s="80"/>
    </row>
    <row r="468" spans="4:4">
      <c r="D468" s="80"/>
    </row>
    <row r="469" spans="4:4">
      <c r="D469" s="80"/>
    </row>
    <row r="470" spans="4:4">
      <c r="D470" s="80"/>
    </row>
    <row r="471" spans="4:4">
      <c r="D471" s="80"/>
    </row>
    <row r="472" spans="4:4">
      <c r="D472" s="80"/>
    </row>
    <row r="473" spans="4:4">
      <c r="D473" s="80"/>
    </row>
    <row r="474" spans="4:4">
      <c r="D474" s="80"/>
    </row>
    <row r="475" spans="4:4">
      <c r="D475" s="80"/>
    </row>
    <row r="476" spans="4:4">
      <c r="D476" s="80"/>
    </row>
    <row r="477" spans="4:4">
      <c r="D477" s="80"/>
    </row>
    <row r="478" spans="4:4">
      <c r="D478" s="80"/>
    </row>
    <row r="479" spans="4:4">
      <c r="D479" s="80"/>
    </row>
    <row r="480" spans="4:4">
      <c r="D480" s="80"/>
    </row>
    <row r="481" spans="4:4">
      <c r="D481" s="80"/>
    </row>
    <row r="482" spans="4:4">
      <c r="D482" s="80"/>
    </row>
    <row r="483" spans="4:4">
      <c r="D483" s="80"/>
    </row>
    <row r="484" spans="4:4">
      <c r="D484" s="80"/>
    </row>
    <row r="485" spans="4:4">
      <c r="D485" s="80"/>
    </row>
    <row r="486" spans="4:4">
      <c r="D486" s="80"/>
    </row>
    <row r="487" spans="4:4">
      <c r="D487" s="80"/>
    </row>
    <row r="488" spans="4:4">
      <c r="D488" s="80"/>
    </row>
    <row r="489" spans="4:4">
      <c r="D489" s="80"/>
    </row>
    <row r="490" spans="4:4">
      <c r="D490" s="80"/>
    </row>
    <row r="491" spans="4:4">
      <c r="D491" s="80"/>
    </row>
    <row r="492" spans="4:4">
      <c r="D492" s="80"/>
    </row>
    <row r="493" spans="4:4">
      <c r="D493" s="80"/>
    </row>
    <row r="494" spans="4:4">
      <c r="D494" s="80"/>
    </row>
    <row r="495" spans="4:4">
      <c r="D495" s="80"/>
    </row>
    <row r="496" spans="4:4">
      <c r="D496" s="80"/>
    </row>
    <row r="497" spans="4:4">
      <c r="D497" s="80"/>
    </row>
    <row r="498" spans="4:4">
      <c r="D498" s="80"/>
    </row>
    <row r="499" spans="4:4">
      <c r="D499" s="80"/>
    </row>
    <row r="500" spans="4:4">
      <c r="D500" s="80"/>
    </row>
    <row r="501" spans="4:4">
      <c r="D501" s="80"/>
    </row>
    <row r="502" spans="4:4">
      <c r="D502" s="80"/>
    </row>
    <row r="503" spans="4:4">
      <c r="D503" s="80"/>
    </row>
    <row r="504" spans="4:4">
      <c r="D504" s="80"/>
    </row>
    <row r="505" spans="4:4">
      <c r="D505" s="80"/>
    </row>
    <row r="506" spans="4:4">
      <c r="D506" s="80"/>
    </row>
    <row r="507" spans="4:4">
      <c r="D507" s="80"/>
    </row>
    <row r="508" spans="4:4">
      <c r="D508" s="80"/>
    </row>
    <row r="509" spans="4:4">
      <c r="D509" s="80"/>
    </row>
    <row r="510" spans="4:4">
      <c r="D510" s="80"/>
    </row>
    <row r="511" spans="4:4">
      <c r="D511" s="80"/>
    </row>
    <row r="512" spans="4:4">
      <c r="D512" s="80"/>
    </row>
    <row r="513" spans="4:4">
      <c r="D513" s="80"/>
    </row>
    <row r="514" spans="4:4">
      <c r="D514" s="80"/>
    </row>
    <row r="515" spans="4:4">
      <c r="D515" s="80"/>
    </row>
    <row r="516" spans="4:4">
      <c r="D516" s="80"/>
    </row>
    <row r="517" spans="4:4">
      <c r="D517" s="80"/>
    </row>
    <row r="518" spans="4:4">
      <c r="D518" s="80"/>
    </row>
    <row r="519" spans="4:4">
      <c r="D519" s="80"/>
    </row>
    <row r="520" spans="4:4">
      <c r="D520" s="80"/>
    </row>
    <row r="521" spans="4:4">
      <c r="D521" s="80"/>
    </row>
    <row r="522" spans="4:4">
      <c r="D522" s="80"/>
    </row>
    <row r="523" spans="4:4">
      <c r="D523" s="80"/>
    </row>
    <row r="524" spans="4:4">
      <c r="D524" s="80"/>
    </row>
    <row r="525" spans="4:4">
      <c r="D525" s="80"/>
    </row>
    <row r="526" spans="4:4">
      <c r="D526" s="80"/>
    </row>
    <row r="527" spans="4:4">
      <c r="D527" s="80"/>
    </row>
    <row r="528" spans="4:4">
      <c r="D528" s="80"/>
    </row>
    <row r="529" spans="4:4">
      <c r="D529" s="80"/>
    </row>
    <row r="530" spans="4:4">
      <c r="D530" s="80"/>
    </row>
    <row r="531" spans="4:4">
      <c r="D531" s="80"/>
    </row>
    <row r="532" spans="4:4">
      <c r="D532" s="80"/>
    </row>
    <row r="533" spans="4:4">
      <c r="D533" s="80"/>
    </row>
    <row r="534" spans="4:4">
      <c r="D534" s="80"/>
    </row>
    <row r="535" spans="4:4">
      <c r="D535" s="80"/>
    </row>
    <row r="536" spans="4:4">
      <c r="D536" s="80"/>
    </row>
    <row r="537" spans="4:4">
      <c r="D537" s="80"/>
    </row>
    <row r="538" spans="4:4">
      <c r="D538" s="80"/>
    </row>
    <row r="539" spans="4:4">
      <c r="D539" s="80"/>
    </row>
    <row r="540" spans="4:4">
      <c r="D540" s="80"/>
    </row>
    <row r="541" spans="4:4">
      <c r="D541" s="80"/>
    </row>
    <row r="542" spans="4:4">
      <c r="D542" s="80"/>
    </row>
    <row r="543" spans="4:4">
      <c r="D543" s="80"/>
    </row>
    <row r="544" spans="4:4">
      <c r="D544" s="80"/>
    </row>
    <row r="545" spans="4:4">
      <c r="D545" s="80"/>
    </row>
    <row r="546" spans="4:4">
      <c r="D546" s="80"/>
    </row>
    <row r="547" spans="4:4">
      <c r="D547" s="80"/>
    </row>
    <row r="548" spans="4:4">
      <c r="D548" s="80"/>
    </row>
    <row r="549" spans="4:4">
      <c r="D549" s="80"/>
    </row>
    <row r="550" spans="4:4">
      <c r="D550" s="80"/>
    </row>
    <row r="551" spans="4:4">
      <c r="D551" s="80"/>
    </row>
    <row r="552" spans="4:4">
      <c r="D552" s="80"/>
    </row>
    <row r="553" spans="4:4">
      <c r="D553" s="80"/>
    </row>
    <row r="554" spans="4:4">
      <c r="D554" s="80"/>
    </row>
    <row r="555" spans="4:4">
      <c r="D555" s="80"/>
    </row>
    <row r="556" spans="4:4">
      <c r="D556" s="80"/>
    </row>
    <row r="557" spans="4:4">
      <c r="D557" s="80"/>
    </row>
    <row r="558" spans="4:4">
      <c r="D558" s="80"/>
    </row>
    <row r="559" spans="4:4">
      <c r="D559" s="80"/>
    </row>
    <row r="560" spans="4:4">
      <c r="D560" s="80"/>
    </row>
    <row r="561" spans="4:4">
      <c r="D561" s="80"/>
    </row>
    <row r="562" spans="4:4">
      <c r="D562" s="80"/>
    </row>
    <row r="563" spans="4:4">
      <c r="D563" s="80"/>
    </row>
    <row r="564" spans="4:4">
      <c r="D564" s="80"/>
    </row>
    <row r="565" spans="4:4">
      <c r="D565" s="80"/>
    </row>
    <row r="566" spans="4:4">
      <c r="D566" s="80"/>
    </row>
    <row r="567" spans="4:4">
      <c r="D567" s="80"/>
    </row>
    <row r="568" spans="4:4">
      <c r="D568" s="80"/>
    </row>
    <row r="569" spans="4:4">
      <c r="D569" s="80"/>
    </row>
    <row r="570" spans="4:4">
      <c r="D570" s="80"/>
    </row>
    <row r="571" spans="4:4">
      <c r="D571" s="80"/>
    </row>
    <row r="572" spans="4:4">
      <c r="D572" s="80"/>
    </row>
    <row r="573" spans="4:4">
      <c r="D573" s="80"/>
    </row>
    <row r="574" spans="4:4">
      <c r="D574" s="80"/>
    </row>
    <row r="575" spans="4:4">
      <c r="D575" s="80"/>
    </row>
    <row r="576" spans="4:4">
      <c r="D576" s="80"/>
    </row>
    <row r="577" spans="4:4">
      <c r="D577" s="80"/>
    </row>
    <row r="578" spans="4:4">
      <c r="D578" s="80"/>
    </row>
    <row r="579" spans="4:4">
      <c r="D579" s="80"/>
    </row>
    <row r="580" spans="4:4">
      <c r="D580" s="80"/>
    </row>
    <row r="581" spans="4:4">
      <c r="D581" s="80"/>
    </row>
    <row r="582" spans="4:4">
      <c r="D582" s="80"/>
    </row>
    <row r="583" spans="4:4">
      <c r="D583" s="80"/>
    </row>
    <row r="584" spans="4:4">
      <c r="D584" s="80"/>
    </row>
    <row r="585" spans="4:4">
      <c r="D585" s="80"/>
    </row>
    <row r="586" spans="4:4">
      <c r="D586" s="80"/>
    </row>
    <row r="587" spans="4:4">
      <c r="D587" s="80"/>
    </row>
    <row r="588" spans="4:4">
      <c r="D588" s="80"/>
    </row>
    <row r="589" spans="4:4">
      <c r="D589" s="80"/>
    </row>
    <row r="590" spans="4:4">
      <c r="D590" s="80"/>
    </row>
    <row r="591" spans="4:4">
      <c r="D591" s="80"/>
    </row>
    <row r="592" spans="4:4">
      <c r="D592" s="80"/>
    </row>
    <row r="593" spans="4:4">
      <c r="D593" s="80"/>
    </row>
    <row r="594" spans="4:4">
      <c r="D594" s="80"/>
    </row>
    <row r="595" spans="4:4">
      <c r="D595" s="80"/>
    </row>
    <row r="596" spans="4:4">
      <c r="D596" s="80"/>
    </row>
    <row r="597" spans="4:4">
      <c r="D597" s="80"/>
    </row>
    <row r="598" spans="4:4">
      <c r="D598" s="80"/>
    </row>
    <row r="599" spans="4:4">
      <c r="D599" s="80"/>
    </row>
    <row r="600" spans="4:4">
      <c r="D600" s="80"/>
    </row>
    <row r="601" spans="4:4">
      <c r="D601" s="80"/>
    </row>
    <row r="602" spans="4:4">
      <c r="D602" s="80"/>
    </row>
    <row r="603" spans="4:4">
      <c r="D603" s="80"/>
    </row>
    <row r="604" spans="4:4">
      <c r="D604" s="80"/>
    </row>
    <row r="605" spans="4:4">
      <c r="D605" s="80"/>
    </row>
    <row r="606" spans="4:4">
      <c r="D606" s="80"/>
    </row>
    <row r="607" spans="4:4">
      <c r="D607" s="80"/>
    </row>
    <row r="608" spans="4:4">
      <c r="D608" s="80"/>
    </row>
    <row r="609" spans="4:4">
      <c r="D609" s="80"/>
    </row>
    <row r="610" spans="4:4">
      <c r="D610" s="80"/>
    </row>
    <row r="611" spans="4:4">
      <c r="D611" s="80"/>
    </row>
    <row r="612" spans="4:4">
      <c r="D612" s="80"/>
    </row>
    <row r="613" spans="4:4">
      <c r="D613" s="80"/>
    </row>
    <row r="614" spans="4:4">
      <c r="D614" s="80"/>
    </row>
    <row r="615" spans="4:4">
      <c r="D615" s="80"/>
    </row>
    <row r="616" spans="4:4">
      <c r="D616" s="80"/>
    </row>
    <row r="617" spans="4:4">
      <c r="D617" s="80"/>
    </row>
    <row r="618" spans="4:4">
      <c r="D618" s="80"/>
    </row>
    <row r="619" spans="4:4">
      <c r="D619" s="80"/>
    </row>
    <row r="620" spans="4:4">
      <c r="D620" s="80"/>
    </row>
    <row r="621" spans="4:4">
      <c r="D621" s="80"/>
    </row>
    <row r="622" spans="4:4">
      <c r="D622" s="80"/>
    </row>
    <row r="623" spans="4:4">
      <c r="D623" s="80"/>
    </row>
    <row r="624" spans="4:4">
      <c r="D624" s="80"/>
    </row>
    <row r="625" spans="4:4">
      <c r="D625" s="80"/>
    </row>
    <row r="626" spans="4:4">
      <c r="D626" s="80"/>
    </row>
    <row r="627" spans="4:4">
      <c r="D627" s="80"/>
    </row>
    <row r="628" spans="4:4">
      <c r="D628" s="80"/>
    </row>
    <row r="629" spans="4:4">
      <c r="D629" s="80"/>
    </row>
    <row r="630" spans="4:4">
      <c r="D630" s="80"/>
    </row>
    <row r="631" spans="4:4">
      <c r="D631" s="80"/>
    </row>
    <row r="632" spans="4:4">
      <c r="D632" s="80"/>
    </row>
    <row r="633" spans="4:4">
      <c r="D633" s="80"/>
    </row>
    <row r="634" spans="4:4">
      <c r="D634" s="80"/>
    </row>
    <row r="635" spans="4:4">
      <c r="D635" s="80"/>
    </row>
    <row r="636" spans="4:4">
      <c r="D636" s="80"/>
    </row>
    <row r="637" spans="4:4">
      <c r="D637" s="80"/>
    </row>
    <row r="638" spans="4:4">
      <c r="D638" s="80"/>
    </row>
    <row r="639" spans="4:4">
      <c r="D639" s="80"/>
    </row>
    <row r="640" spans="4:4">
      <c r="D640" s="80"/>
    </row>
    <row r="641" spans="4:4">
      <c r="D641" s="80"/>
    </row>
    <row r="642" spans="4:4">
      <c r="D642" s="80"/>
    </row>
    <row r="643" spans="4:4">
      <c r="D643" s="80"/>
    </row>
    <row r="644" spans="4:4">
      <c r="D644" s="80"/>
    </row>
    <row r="645" spans="4:4">
      <c r="D645" s="80"/>
    </row>
    <row r="646" spans="4:4">
      <c r="D646" s="80"/>
    </row>
    <row r="647" spans="4:4">
      <c r="D647" s="80"/>
    </row>
    <row r="648" spans="4:4">
      <c r="D648" s="80"/>
    </row>
    <row r="649" spans="4:4">
      <c r="D649" s="80"/>
    </row>
    <row r="650" spans="4:4">
      <c r="D650" s="80"/>
    </row>
    <row r="651" spans="4:4">
      <c r="D651" s="80"/>
    </row>
    <row r="652" spans="4:4">
      <c r="D652" s="80"/>
    </row>
    <row r="653" spans="4:4">
      <c r="D653" s="80"/>
    </row>
    <row r="654" spans="4:4">
      <c r="D654" s="80"/>
    </row>
    <row r="655" spans="4:4">
      <c r="D655" s="80"/>
    </row>
    <row r="656" spans="4:4">
      <c r="D656" s="80"/>
    </row>
    <row r="657" spans="4:4">
      <c r="D657" s="80"/>
    </row>
    <row r="658" spans="4:4">
      <c r="D658" s="80"/>
    </row>
    <row r="659" spans="4:4">
      <c r="D659" s="80"/>
    </row>
    <row r="660" spans="4:4">
      <c r="D660" s="80"/>
    </row>
    <row r="661" spans="4:4">
      <c r="D661" s="80"/>
    </row>
    <row r="662" spans="4:4">
      <c r="D662" s="80"/>
    </row>
    <row r="663" spans="4:4">
      <c r="D663" s="80"/>
    </row>
    <row r="664" spans="4:4">
      <c r="D664" s="80"/>
    </row>
    <row r="665" spans="4:4">
      <c r="D665" s="80"/>
    </row>
    <row r="666" spans="4:4">
      <c r="D666" s="80"/>
    </row>
    <row r="667" spans="4:4">
      <c r="D667" s="80"/>
    </row>
    <row r="668" spans="4:4">
      <c r="D668" s="80"/>
    </row>
    <row r="669" spans="4:4">
      <c r="D669" s="80"/>
    </row>
    <row r="670" spans="4:4">
      <c r="D670" s="80"/>
    </row>
    <row r="671" spans="4:4">
      <c r="D671" s="80"/>
    </row>
    <row r="672" spans="4:4">
      <c r="D672" s="80"/>
    </row>
    <row r="673" spans="4:4">
      <c r="D673" s="80"/>
    </row>
    <row r="674" spans="4:4">
      <c r="D674" s="80"/>
    </row>
    <row r="675" spans="4:4">
      <c r="D675" s="80"/>
    </row>
    <row r="676" spans="4:4">
      <c r="D676" s="80"/>
    </row>
    <row r="677" spans="4:4">
      <c r="D677" s="80"/>
    </row>
    <row r="678" spans="4:4">
      <c r="D678" s="80"/>
    </row>
    <row r="679" spans="4:4">
      <c r="D679" s="80"/>
    </row>
    <row r="680" spans="4:4">
      <c r="D680" s="80"/>
    </row>
    <row r="681" spans="4:4">
      <c r="D681" s="80"/>
    </row>
    <row r="682" spans="4:4">
      <c r="D682" s="80"/>
    </row>
    <row r="683" spans="4:4">
      <c r="D683" s="80"/>
    </row>
    <row r="684" spans="4:4">
      <c r="D684" s="80"/>
    </row>
    <row r="685" spans="4:4">
      <c r="D685" s="80"/>
    </row>
    <row r="686" spans="4:4">
      <c r="D686" s="80"/>
    </row>
    <row r="687" spans="4:4">
      <c r="D687" s="80"/>
    </row>
    <row r="688" spans="4:4">
      <c r="D688" s="80"/>
    </row>
    <row r="689" spans="4:4">
      <c r="D689" s="80"/>
    </row>
    <row r="690" spans="4:4">
      <c r="D690" s="80"/>
    </row>
    <row r="691" spans="4:4">
      <c r="D691" s="80"/>
    </row>
    <row r="692" spans="4:4">
      <c r="D692" s="80"/>
    </row>
    <row r="693" spans="4:4">
      <c r="D693" s="80"/>
    </row>
    <row r="694" spans="4:4">
      <c r="D694" s="80"/>
    </row>
    <row r="695" spans="4:4">
      <c r="D695" s="80"/>
    </row>
    <row r="696" spans="4:4">
      <c r="D696" s="80"/>
    </row>
    <row r="697" spans="4:4">
      <c r="D697" s="80"/>
    </row>
    <row r="698" spans="4:4">
      <c r="D698" s="80"/>
    </row>
    <row r="699" spans="4:4">
      <c r="D699" s="80"/>
    </row>
    <row r="700" spans="4:4">
      <c r="D700" s="80"/>
    </row>
    <row r="701" spans="4:4">
      <c r="D701" s="80"/>
    </row>
    <row r="702" spans="4:4">
      <c r="D702" s="80"/>
    </row>
    <row r="703" spans="4:4">
      <c r="D703" s="80"/>
    </row>
    <row r="704" spans="4:4">
      <c r="D704" s="80"/>
    </row>
    <row r="705" spans="4:4">
      <c r="D705" s="80"/>
    </row>
    <row r="706" spans="4:4">
      <c r="D706" s="80"/>
    </row>
    <row r="707" spans="4:4">
      <c r="D707" s="80"/>
    </row>
    <row r="708" spans="4:4">
      <c r="D708" s="80"/>
    </row>
    <row r="709" spans="4:4">
      <c r="D709" s="80"/>
    </row>
    <row r="710" spans="4:4">
      <c r="D710" s="80"/>
    </row>
    <row r="711" spans="4:4">
      <c r="D711" s="80"/>
    </row>
    <row r="712" spans="4:4">
      <c r="D712" s="80"/>
    </row>
    <row r="713" spans="4:4">
      <c r="D713" s="80"/>
    </row>
    <row r="714" spans="4:4">
      <c r="D714" s="80"/>
    </row>
    <row r="715" spans="4:4">
      <c r="D715" s="80"/>
    </row>
    <row r="716" spans="4:4">
      <c r="D716" s="80"/>
    </row>
    <row r="717" spans="4:4">
      <c r="D717" s="80"/>
    </row>
    <row r="718" spans="4:4">
      <c r="D718" s="80"/>
    </row>
    <row r="719" spans="4:4">
      <c r="D719" s="80"/>
    </row>
    <row r="720" spans="4:4">
      <c r="D720" s="80"/>
    </row>
    <row r="721" spans="4:4">
      <c r="D721" s="80"/>
    </row>
    <row r="722" spans="4:4">
      <c r="D722" s="80"/>
    </row>
    <row r="723" spans="4:4">
      <c r="D723" s="80"/>
    </row>
    <row r="724" spans="4:4">
      <c r="D724" s="80"/>
    </row>
    <row r="725" spans="4:4">
      <c r="D725" s="80"/>
    </row>
    <row r="726" spans="4:4">
      <c r="D726" s="80"/>
    </row>
    <row r="727" spans="4:4">
      <c r="D727" s="80"/>
    </row>
    <row r="728" spans="4:4">
      <c r="D728" s="80"/>
    </row>
    <row r="729" spans="4:4">
      <c r="D729" s="80"/>
    </row>
    <row r="730" spans="4:4">
      <c r="D730" s="80"/>
    </row>
    <row r="731" spans="4:4">
      <c r="D731" s="80"/>
    </row>
    <row r="732" spans="4:4">
      <c r="D732" s="80"/>
    </row>
    <row r="733" spans="4:4">
      <c r="D733" s="80"/>
    </row>
    <row r="734" spans="4:4">
      <c r="D734" s="80"/>
    </row>
    <row r="735" spans="4:4">
      <c r="D735" s="80"/>
    </row>
    <row r="736" spans="4:4">
      <c r="D736" s="80"/>
    </row>
    <row r="737" spans="4:4">
      <c r="D737" s="80"/>
    </row>
    <row r="738" spans="4:4">
      <c r="D738" s="80"/>
    </row>
    <row r="739" spans="4:4">
      <c r="D739" s="80"/>
    </row>
    <row r="740" spans="4:4">
      <c r="D740" s="80"/>
    </row>
    <row r="741" spans="4:4">
      <c r="D741" s="80"/>
    </row>
    <row r="742" spans="4:4">
      <c r="D742" s="80"/>
    </row>
    <row r="743" spans="4:4">
      <c r="D743" s="80"/>
    </row>
    <row r="744" spans="4:4">
      <c r="D744" s="80"/>
    </row>
    <row r="745" spans="4:4">
      <c r="D745" s="80"/>
    </row>
    <row r="746" spans="4:4">
      <c r="D746" s="80"/>
    </row>
    <row r="747" spans="4:4">
      <c r="D747" s="80"/>
    </row>
    <row r="748" spans="4:4">
      <c r="D748" s="80"/>
    </row>
    <row r="749" spans="4:4">
      <c r="D749" s="80"/>
    </row>
    <row r="750" spans="4:4">
      <c r="D750" s="80"/>
    </row>
    <row r="751" spans="4:4">
      <c r="D751" s="80"/>
    </row>
    <row r="752" spans="4:4">
      <c r="D752" s="80"/>
    </row>
    <row r="753" spans="4:4">
      <c r="D753" s="80"/>
    </row>
    <row r="754" spans="4:4">
      <c r="D754" s="80"/>
    </row>
    <row r="755" spans="4:4">
      <c r="D755" s="80"/>
    </row>
    <row r="756" spans="4:4">
      <c r="D756" s="80"/>
    </row>
    <row r="757" spans="4:4">
      <c r="D757" s="80"/>
    </row>
    <row r="758" spans="4:4">
      <c r="D758" s="80"/>
    </row>
    <row r="759" spans="4:4">
      <c r="D759" s="80"/>
    </row>
    <row r="760" spans="4:4">
      <c r="D760" s="80"/>
    </row>
    <row r="761" spans="4:4">
      <c r="D761" s="80"/>
    </row>
    <row r="762" spans="4:4">
      <c r="D762" s="80"/>
    </row>
    <row r="763" spans="4:4">
      <c r="D763" s="80"/>
    </row>
    <row r="764" spans="4:4">
      <c r="D764" s="80"/>
    </row>
    <row r="765" spans="4:4">
      <c r="D765" s="80"/>
    </row>
    <row r="766" spans="4:4">
      <c r="D766" s="80"/>
    </row>
    <row r="767" spans="4:4">
      <c r="D767" s="80"/>
    </row>
    <row r="768" spans="4:4">
      <c r="D768" s="80"/>
    </row>
    <row r="769" spans="4:4">
      <c r="D769" s="80"/>
    </row>
    <row r="770" spans="4:4">
      <c r="D770" s="80"/>
    </row>
    <row r="771" spans="4:4">
      <c r="D771" s="80"/>
    </row>
    <row r="772" spans="4:4">
      <c r="D772" s="80"/>
    </row>
    <row r="773" spans="4:4">
      <c r="D773" s="80"/>
    </row>
    <row r="774" spans="4:4">
      <c r="D774" s="80"/>
    </row>
    <row r="775" spans="4:4">
      <c r="D775" s="80"/>
    </row>
    <row r="776" spans="4:4">
      <c r="D776" s="80"/>
    </row>
    <row r="777" spans="4:4">
      <c r="D777" s="80"/>
    </row>
    <row r="778" spans="4:4">
      <c r="D778" s="80"/>
    </row>
    <row r="779" spans="4:4">
      <c r="D779" s="80"/>
    </row>
    <row r="780" spans="4:4">
      <c r="D780" s="80"/>
    </row>
    <row r="781" spans="4:4">
      <c r="D781" s="80"/>
    </row>
    <row r="782" spans="4:4">
      <c r="D782" s="80"/>
    </row>
    <row r="783" spans="4:4">
      <c r="D783" s="80"/>
    </row>
    <row r="784" spans="4:4">
      <c r="D784" s="80"/>
    </row>
    <row r="785" spans="4:4">
      <c r="D785" s="80"/>
    </row>
    <row r="786" spans="4:4">
      <c r="D786" s="80"/>
    </row>
    <row r="787" spans="4:4">
      <c r="D787" s="80"/>
    </row>
    <row r="788" spans="4:4">
      <c r="D788" s="80"/>
    </row>
    <row r="789" spans="4:4">
      <c r="D789" s="80"/>
    </row>
    <row r="790" spans="4:4">
      <c r="D790" s="80"/>
    </row>
    <row r="791" spans="4:4">
      <c r="D791" s="80"/>
    </row>
    <row r="792" spans="4:4">
      <c r="D792" s="80"/>
    </row>
    <row r="793" spans="4:4">
      <c r="D793" s="80"/>
    </row>
    <row r="794" spans="4:4">
      <c r="D794" s="80"/>
    </row>
    <row r="795" spans="4:4">
      <c r="D795" s="80"/>
    </row>
    <row r="796" spans="4:4">
      <c r="D796" s="80"/>
    </row>
    <row r="797" spans="4:4">
      <c r="D797" s="80"/>
    </row>
    <row r="798" spans="4:4">
      <c r="D798" s="80"/>
    </row>
    <row r="799" spans="4:4">
      <c r="D799" s="80"/>
    </row>
    <row r="800" spans="4:4">
      <c r="D800" s="80"/>
    </row>
    <row r="801" spans="4:4">
      <c r="D801" s="80"/>
    </row>
    <row r="802" spans="4:4">
      <c r="D802" s="80"/>
    </row>
    <row r="803" spans="4:4">
      <c r="D803" s="80"/>
    </row>
    <row r="804" spans="4:4">
      <c r="D804" s="80"/>
    </row>
    <row r="805" spans="4:4">
      <c r="D805" s="80"/>
    </row>
    <row r="806" spans="4:4">
      <c r="D806" s="80"/>
    </row>
    <row r="807" spans="4:4">
      <c r="D807" s="80"/>
    </row>
    <row r="808" spans="4:4">
      <c r="D808" s="80"/>
    </row>
    <row r="809" spans="4:4">
      <c r="D809" s="80"/>
    </row>
    <row r="810" spans="4:4">
      <c r="D810" s="80"/>
    </row>
    <row r="811" spans="4:4">
      <c r="D811" s="80"/>
    </row>
    <row r="812" spans="4:4">
      <c r="D812" s="80"/>
    </row>
    <row r="813" spans="4:4">
      <c r="D813" s="80"/>
    </row>
    <row r="814" spans="4:4">
      <c r="D814" s="80"/>
    </row>
    <row r="815" spans="4:4">
      <c r="D815" s="80"/>
    </row>
    <row r="816" spans="4:4">
      <c r="D816" s="80"/>
    </row>
    <row r="817" spans="4:4">
      <c r="D817" s="80"/>
    </row>
    <row r="818" spans="4:4">
      <c r="D818" s="80"/>
    </row>
    <row r="819" spans="4:4">
      <c r="D819" s="80"/>
    </row>
    <row r="820" spans="4:4">
      <c r="D820" s="80"/>
    </row>
    <row r="821" spans="4:4">
      <c r="D821" s="80"/>
    </row>
    <row r="822" spans="4:4">
      <c r="D822" s="80"/>
    </row>
    <row r="823" spans="4:4">
      <c r="D823" s="80"/>
    </row>
    <row r="824" spans="4:4">
      <c r="D824" s="80"/>
    </row>
    <row r="825" spans="4:4">
      <c r="D825" s="80"/>
    </row>
    <row r="826" spans="4:4">
      <c r="D826" s="80"/>
    </row>
    <row r="827" spans="4:4">
      <c r="D827" s="80"/>
    </row>
    <row r="828" spans="4:4">
      <c r="D828" s="80"/>
    </row>
    <row r="829" spans="4:4">
      <c r="D829" s="80"/>
    </row>
    <row r="830" spans="4:4">
      <c r="D830" s="80"/>
    </row>
    <row r="831" spans="4:4">
      <c r="D831" s="80"/>
    </row>
    <row r="832" spans="4:4">
      <c r="D832" s="80"/>
    </row>
    <row r="833" spans="4:4">
      <c r="D833" s="80"/>
    </row>
    <row r="834" spans="4:4">
      <c r="D834" s="80"/>
    </row>
    <row r="835" spans="4:4">
      <c r="D835" s="80"/>
    </row>
    <row r="836" spans="4:4">
      <c r="D836" s="80"/>
    </row>
    <row r="837" spans="4:4">
      <c r="D837" s="80"/>
    </row>
    <row r="838" spans="4:4">
      <c r="D838" s="80"/>
    </row>
    <row r="839" spans="4:4">
      <c r="D839" s="80"/>
    </row>
    <row r="840" spans="4:4">
      <c r="D840" s="80"/>
    </row>
    <row r="841" spans="4:4">
      <c r="D841" s="80"/>
    </row>
    <row r="842" spans="4:4">
      <c r="D842" s="80"/>
    </row>
    <row r="843" spans="4:4">
      <c r="D843" s="80"/>
    </row>
    <row r="844" spans="4:4">
      <c r="D844" s="80"/>
    </row>
    <row r="845" spans="4:4">
      <c r="D845" s="80"/>
    </row>
    <row r="846" spans="4:4">
      <c r="D846" s="80"/>
    </row>
    <row r="847" spans="4:4">
      <c r="D847" s="80"/>
    </row>
    <row r="848" spans="4:4">
      <c r="D848" s="80"/>
    </row>
    <row r="849" spans="4:4">
      <c r="D849" s="80"/>
    </row>
    <row r="850" spans="4:4">
      <c r="D850" s="80"/>
    </row>
    <row r="851" spans="4:4">
      <c r="D851" s="80"/>
    </row>
    <row r="852" spans="4:4">
      <c r="D852" s="80"/>
    </row>
    <row r="853" spans="4:4">
      <c r="D853" s="80"/>
    </row>
    <row r="854" spans="4:4">
      <c r="D854" s="80"/>
    </row>
    <row r="855" spans="4:4">
      <c r="D855" s="80"/>
    </row>
    <row r="856" spans="4:4">
      <c r="D856" s="80"/>
    </row>
    <row r="857" spans="4:4">
      <c r="D857" s="80"/>
    </row>
    <row r="858" spans="4:4">
      <c r="D858" s="80"/>
    </row>
    <row r="859" spans="4:4">
      <c r="D859" s="80"/>
    </row>
    <row r="860" spans="4:4">
      <c r="D860" s="80"/>
    </row>
    <row r="861" spans="4:4">
      <c r="D861" s="80"/>
    </row>
    <row r="862" spans="4:4">
      <c r="D862" s="80"/>
    </row>
    <row r="863" spans="4:4">
      <c r="D863" s="80"/>
    </row>
    <row r="864" spans="4:4">
      <c r="D864" s="80"/>
    </row>
    <row r="865" spans="4:4">
      <c r="D865" s="80"/>
    </row>
    <row r="866" spans="4:4">
      <c r="D866" s="80"/>
    </row>
    <row r="867" spans="4:4">
      <c r="D867" s="80"/>
    </row>
    <row r="868" spans="4:4">
      <c r="D868" s="80"/>
    </row>
    <row r="869" spans="4:4">
      <c r="D869" s="80"/>
    </row>
    <row r="870" spans="4:4">
      <c r="D870" s="80"/>
    </row>
    <row r="871" spans="4:4">
      <c r="D871" s="80"/>
    </row>
    <row r="872" spans="4:4">
      <c r="D872" s="80"/>
    </row>
    <row r="873" spans="4:4">
      <c r="D873" s="80"/>
    </row>
    <row r="874" spans="4:4">
      <c r="D874" s="80"/>
    </row>
    <row r="875" spans="4:4">
      <c r="D875" s="80"/>
    </row>
    <row r="876" spans="4:4">
      <c r="D876" s="80"/>
    </row>
    <row r="877" spans="4:4">
      <c r="D877" s="80"/>
    </row>
    <row r="878" spans="4:4">
      <c r="D878" s="80"/>
    </row>
    <row r="879" spans="4:4">
      <c r="D879" s="80"/>
    </row>
    <row r="880" spans="4:4">
      <c r="D880" s="80"/>
    </row>
    <row r="881" spans="4:4">
      <c r="D881" s="80"/>
    </row>
    <row r="882" spans="4:4">
      <c r="D882" s="80"/>
    </row>
    <row r="883" spans="4:4">
      <c r="D883" s="80"/>
    </row>
    <row r="884" spans="4:4">
      <c r="D884" s="80"/>
    </row>
    <row r="885" spans="4:4">
      <c r="D885" s="80"/>
    </row>
    <row r="886" spans="4:4">
      <c r="D886" s="80"/>
    </row>
    <row r="887" spans="4:4">
      <c r="D887" s="80"/>
    </row>
    <row r="888" spans="4:4">
      <c r="D888" s="80"/>
    </row>
    <row r="889" spans="4:4">
      <c r="D889" s="80"/>
    </row>
    <row r="890" spans="4:4">
      <c r="D890" s="80"/>
    </row>
    <row r="891" spans="4:4">
      <c r="D891" s="80"/>
    </row>
    <row r="892" spans="4:4">
      <c r="D892" s="80"/>
    </row>
    <row r="893" spans="4:4">
      <c r="D893" s="80"/>
    </row>
    <row r="894" spans="4:4">
      <c r="D894" s="80"/>
    </row>
    <row r="895" spans="4:4">
      <c r="D895" s="80"/>
    </row>
    <row r="896" spans="4:4">
      <c r="D896" s="80"/>
    </row>
    <row r="897" spans="4:4">
      <c r="D897" s="80"/>
    </row>
    <row r="898" spans="4:4">
      <c r="D898" s="80"/>
    </row>
    <row r="899" spans="4:4">
      <c r="D899" s="80"/>
    </row>
    <row r="900" spans="4:4">
      <c r="D900" s="80"/>
    </row>
    <row r="901" spans="4:4">
      <c r="D901" s="80"/>
    </row>
    <row r="902" spans="4:4">
      <c r="D902" s="80"/>
    </row>
    <row r="903" spans="4:4">
      <c r="D903" s="80"/>
    </row>
    <row r="904" spans="4:4">
      <c r="D904" s="80"/>
    </row>
    <row r="905" spans="4:4">
      <c r="D905" s="80"/>
    </row>
    <row r="906" spans="4:4">
      <c r="D906" s="80"/>
    </row>
    <row r="907" spans="4:4">
      <c r="D907" s="80"/>
    </row>
    <row r="908" spans="4:4">
      <c r="D908" s="80"/>
    </row>
    <row r="909" spans="4:4">
      <c r="D909" s="80"/>
    </row>
    <row r="910" spans="4:4">
      <c r="D910" s="80"/>
    </row>
    <row r="911" spans="4:4">
      <c r="D911" s="80"/>
    </row>
    <row r="912" spans="4:4">
      <c r="D912" s="80"/>
    </row>
    <row r="913" spans="4:4">
      <c r="D913" s="80"/>
    </row>
    <row r="914" spans="4:4">
      <c r="D914" s="80"/>
    </row>
    <row r="915" spans="4:4">
      <c r="D915" s="80"/>
    </row>
    <row r="916" spans="4:4">
      <c r="D916" s="80"/>
    </row>
    <row r="917" spans="4:4">
      <c r="D917" s="80"/>
    </row>
    <row r="918" spans="4:4">
      <c r="D918" s="80"/>
    </row>
    <row r="919" spans="4:4">
      <c r="D919" s="80"/>
    </row>
    <row r="920" spans="4:4">
      <c r="D920" s="80"/>
    </row>
    <row r="921" spans="4:4">
      <c r="D921" s="80"/>
    </row>
    <row r="922" spans="4:4">
      <c r="D922" s="80"/>
    </row>
    <row r="923" spans="4:4">
      <c r="D923" s="80"/>
    </row>
    <row r="924" spans="4:4">
      <c r="D924" s="80"/>
    </row>
    <row r="925" spans="4:4">
      <c r="D925" s="80"/>
    </row>
    <row r="926" spans="4:4">
      <c r="D926" s="80"/>
    </row>
    <row r="927" spans="4:4">
      <c r="D927" s="80"/>
    </row>
    <row r="928" spans="4:4">
      <c r="D928" s="80"/>
    </row>
    <row r="929" spans="4:4">
      <c r="D929" s="80"/>
    </row>
    <row r="930" spans="4:4">
      <c r="D930" s="80"/>
    </row>
    <row r="931" spans="4:4">
      <c r="D931" s="80"/>
    </row>
    <row r="932" spans="4:4">
      <c r="D932" s="80"/>
    </row>
    <row r="933" spans="4:4">
      <c r="D933" s="80"/>
    </row>
    <row r="934" spans="4:4">
      <c r="D934" s="80"/>
    </row>
    <row r="935" spans="4:4">
      <c r="D935" s="80"/>
    </row>
    <row r="936" spans="4:4">
      <c r="D936" s="80"/>
    </row>
    <row r="937" spans="4:4">
      <c r="D937" s="80"/>
    </row>
    <row r="938" spans="4:4">
      <c r="D938" s="80"/>
    </row>
    <row r="939" spans="4:4">
      <c r="D939" s="80"/>
    </row>
    <row r="940" spans="4:4">
      <c r="D940" s="80"/>
    </row>
    <row r="941" spans="4:4">
      <c r="D941" s="80"/>
    </row>
    <row r="942" spans="4:4">
      <c r="D942" s="80"/>
    </row>
    <row r="943" spans="4:4">
      <c r="D943" s="80"/>
    </row>
    <row r="944" spans="4:4">
      <c r="D944" s="80"/>
    </row>
    <row r="945" spans="4:4">
      <c r="D945" s="80"/>
    </row>
    <row r="946" spans="4:4">
      <c r="D946" s="80"/>
    </row>
    <row r="947" spans="4:4">
      <c r="D947" s="80"/>
    </row>
    <row r="948" spans="4:4">
      <c r="D948" s="80"/>
    </row>
    <row r="949" spans="4:4">
      <c r="D949" s="80"/>
    </row>
    <row r="950" spans="4:4">
      <c r="D950" s="80"/>
    </row>
    <row r="951" spans="4:4">
      <c r="D951" s="80"/>
    </row>
    <row r="952" spans="4:4">
      <c r="D952" s="80"/>
    </row>
    <row r="953" spans="4:4">
      <c r="D953" s="80"/>
    </row>
    <row r="954" spans="4:4">
      <c r="D954" s="80"/>
    </row>
    <row r="955" spans="4:4">
      <c r="D955" s="80"/>
    </row>
    <row r="956" spans="4:4">
      <c r="D956" s="80"/>
    </row>
    <row r="957" spans="4:4">
      <c r="D957" s="80"/>
    </row>
    <row r="958" spans="4:4">
      <c r="D958" s="80"/>
    </row>
    <row r="959" spans="4:4">
      <c r="D959" s="80"/>
    </row>
    <row r="960" spans="4:4">
      <c r="D960" s="80"/>
    </row>
    <row r="961" spans="4:4">
      <c r="D961" s="80"/>
    </row>
    <row r="962" spans="4:4">
      <c r="D962" s="80"/>
    </row>
    <row r="963" spans="4:4">
      <c r="D963" s="80"/>
    </row>
    <row r="964" spans="4:4">
      <c r="D964" s="80"/>
    </row>
    <row r="965" spans="4:4">
      <c r="D965" s="80"/>
    </row>
    <row r="966" spans="4:4">
      <c r="D966" s="80"/>
    </row>
    <row r="967" spans="4:4">
      <c r="D967" s="80"/>
    </row>
    <row r="968" spans="4:4">
      <c r="D968" s="80"/>
    </row>
    <row r="969" spans="4:4">
      <c r="D969" s="80"/>
    </row>
    <row r="970" spans="4:4">
      <c r="D970" s="80"/>
    </row>
    <row r="971" spans="4:4">
      <c r="D971" s="80"/>
    </row>
    <row r="972" spans="4:4">
      <c r="D972" s="80"/>
    </row>
    <row r="973" spans="4:4">
      <c r="D973" s="80"/>
    </row>
    <row r="974" spans="4:4">
      <c r="D974" s="80"/>
    </row>
    <row r="975" spans="4:4">
      <c r="D975" s="80"/>
    </row>
    <row r="976" spans="4:4">
      <c r="D976" s="80"/>
    </row>
    <row r="977" spans="4:4">
      <c r="D977" s="80"/>
    </row>
    <row r="978" spans="4:4">
      <c r="D978" s="80"/>
    </row>
    <row r="979" spans="4:4">
      <c r="D979" s="80"/>
    </row>
    <row r="980" spans="4:4">
      <c r="D980" s="80"/>
    </row>
    <row r="981" spans="4:4">
      <c r="D981" s="80"/>
    </row>
    <row r="982" spans="4:4">
      <c r="D982" s="80"/>
    </row>
    <row r="983" spans="4:4">
      <c r="D983" s="80"/>
    </row>
    <row r="984" spans="4:4">
      <c r="D984" s="80"/>
    </row>
    <row r="985" spans="4:4">
      <c r="D985" s="80"/>
    </row>
    <row r="986" spans="4:4">
      <c r="D986" s="80"/>
    </row>
    <row r="987" spans="4:4">
      <c r="D987" s="80"/>
    </row>
    <row r="988" spans="4:4">
      <c r="D988" s="80"/>
    </row>
    <row r="989" spans="4:4">
      <c r="D989" s="80"/>
    </row>
    <row r="990" spans="4:4">
      <c r="D990" s="80"/>
    </row>
    <row r="991" spans="4:4">
      <c r="D991" s="80"/>
    </row>
    <row r="992" spans="4:4">
      <c r="D992" s="80"/>
    </row>
    <row r="993" spans="4:4">
      <c r="D993" s="80"/>
    </row>
    <row r="994" spans="4:4">
      <c r="D994" s="80"/>
    </row>
    <row r="995" spans="4:4">
      <c r="D995" s="80"/>
    </row>
    <row r="996" spans="4:4">
      <c r="D996" s="80"/>
    </row>
    <row r="997" spans="4:4">
      <c r="D997" s="80"/>
    </row>
  </sheetData>
  <dataValidations count="2">
    <dataValidation type="list" allowBlank="1" showDropDown="1" showErrorMessage="1" sqref="B2:B33">
      <formula1>"1. Kenworth,2. Prostar,3. Cascadia,4. Plataforma/grúa,5. Maq. Pesada,5. Misc."</formula1>
    </dataValidation>
    <dataValidation type="list" allowBlank="1" sqref="D2:D33">
      <formula1>"1alta,3baja,2media,4nula"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13.42578125" customWidth="1"/>
    <col min="3" max="3" width="46.85546875" customWidth="1"/>
    <col min="4" max="4" width="13" customWidth="1"/>
    <col min="5" max="5" width="17.28515625" customWidth="1"/>
    <col min="6" max="6" width="37.5703125" customWidth="1"/>
    <col min="7" max="7" width="16.85546875" customWidth="1"/>
    <col min="8" max="8" width="20.28515625" customWidth="1"/>
    <col min="9" max="9" width="15.7109375" customWidth="1"/>
    <col min="10" max="10" width="37.5703125" customWidth="1"/>
  </cols>
  <sheetData>
    <row r="1" spans="1:26" ht="15.75" customHeight="1">
      <c r="A1" s="111" t="s">
        <v>243</v>
      </c>
      <c r="B1" s="112" t="s">
        <v>244</v>
      </c>
      <c r="C1" s="112" t="s">
        <v>245</v>
      </c>
      <c r="D1" s="112" t="s">
        <v>246</v>
      </c>
      <c r="E1" s="113" t="s">
        <v>247</v>
      </c>
      <c r="F1" s="112" t="s">
        <v>248</v>
      </c>
      <c r="G1" s="113" t="s">
        <v>249</v>
      </c>
      <c r="H1" s="114" t="s">
        <v>250</v>
      </c>
      <c r="I1" s="112" t="s">
        <v>251</v>
      </c>
      <c r="J1" s="115" t="s">
        <v>252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>
      <c r="A2" s="117">
        <v>1</v>
      </c>
      <c r="B2" s="118" t="s">
        <v>253</v>
      </c>
      <c r="C2" s="119" t="s">
        <v>254</v>
      </c>
      <c r="E2" s="85"/>
      <c r="F2" s="120"/>
      <c r="G2" s="85"/>
      <c r="H2" s="85"/>
      <c r="I2" s="121"/>
    </row>
    <row r="3" spans="1:26">
      <c r="A3" s="122">
        <v>1</v>
      </c>
      <c r="B3" s="123" t="s">
        <v>253</v>
      </c>
      <c r="C3" s="124" t="s">
        <v>255</v>
      </c>
      <c r="E3" s="91"/>
      <c r="F3" s="125"/>
      <c r="G3" s="91"/>
      <c r="H3" s="91"/>
      <c r="I3" s="126"/>
    </row>
    <row r="4" spans="1:26">
      <c r="A4" s="117">
        <v>1</v>
      </c>
      <c r="B4" s="118" t="s">
        <v>253</v>
      </c>
      <c r="C4" s="119" t="s">
        <v>256</v>
      </c>
      <c r="E4" s="85"/>
      <c r="F4" s="120"/>
      <c r="G4" s="85"/>
      <c r="H4" s="85"/>
      <c r="I4" s="121"/>
      <c r="J4" s="127"/>
    </row>
    <row r="5" spans="1:26">
      <c r="A5" s="122">
        <v>1</v>
      </c>
      <c r="B5" s="123" t="s">
        <v>253</v>
      </c>
      <c r="C5" s="124" t="s">
        <v>257</v>
      </c>
      <c r="E5" s="91"/>
      <c r="F5" s="125"/>
      <c r="G5" s="91"/>
      <c r="H5" s="91"/>
      <c r="I5" s="126"/>
    </row>
    <row r="6" spans="1:26">
      <c r="A6" s="117">
        <v>1</v>
      </c>
      <c r="B6" s="118" t="s">
        <v>253</v>
      </c>
      <c r="C6" s="119" t="s">
        <v>258</v>
      </c>
      <c r="E6" s="85"/>
      <c r="F6" s="120"/>
      <c r="G6" s="128" t="s">
        <v>259</v>
      </c>
      <c r="H6" s="128" t="s">
        <v>260</v>
      </c>
      <c r="I6" s="121"/>
    </row>
    <row r="7" spans="1:26">
      <c r="A7" s="122">
        <v>1</v>
      </c>
      <c r="B7" s="123" t="s">
        <v>253</v>
      </c>
      <c r="C7" s="124" t="s">
        <v>261</v>
      </c>
      <c r="E7" s="91"/>
      <c r="F7" s="125"/>
      <c r="G7" s="91"/>
      <c r="H7" s="91"/>
      <c r="I7" s="126"/>
    </row>
    <row r="8" spans="1:26">
      <c r="A8" s="117">
        <v>1</v>
      </c>
      <c r="B8" s="118" t="s">
        <v>253</v>
      </c>
      <c r="C8" s="119" t="s">
        <v>262</v>
      </c>
      <c r="E8" s="85"/>
      <c r="F8" s="120"/>
      <c r="G8" s="85"/>
      <c r="H8" s="85"/>
      <c r="I8" s="129"/>
    </row>
    <row r="9" spans="1:26">
      <c r="A9" s="122">
        <v>1</v>
      </c>
      <c r="B9" s="123" t="s">
        <v>253</v>
      </c>
      <c r="C9" s="124" t="s">
        <v>263</v>
      </c>
      <c r="E9" s="91"/>
      <c r="F9" s="125"/>
      <c r="G9" s="91"/>
      <c r="H9" s="91"/>
      <c r="I9" s="126"/>
    </row>
    <row r="10" spans="1:26">
      <c r="A10" s="117">
        <v>1</v>
      </c>
      <c r="B10" s="118" t="s">
        <v>253</v>
      </c>
      <c r="C10" s="119" t="s">
        <v>264</v>
      </c>
      <c r="E10" s="85"/>
      <c r="F10" s="120"/>
      <c r="G10" s="85"/>
      <c r="H10" s="85"/>
      <c r="I10" s="121"/>
    </row>
    <row r="11" spans="1:26">
      <c r="A11" s="122">
        <v>7</v>
      </c>
      <c r="B11" s="123" t="s">
        <v>253</v>
      </c>
      <c r="C11" s="124" t="s">
        <v>265</v>
      </c>
      <c r="E11" s="91"/>
      <c r="F11" s="125"/>
      <c r="G11" s="91"/>
      <c r="H11" s="91"/>
      <c r="I11" s="126"/>
    </row>
    <row r="12" spans="1:26">
      <c r="A12" s="117">
        <v>7</v>
      </c>
      <c r="B12" s="118" t="s">
        <v>266</v>
      </c>
      <c r="C12" s="119" t="s">
        <v>267</v>
      </c>
      <c r="E12" s="85"/>
      <c r="F12" s="120"/>
      <c r="G12" s="85"/>
      <c r="H12" s="85"/>
      <c r="I12" s="121"/>
    </row>
    <row r="13" spans="1:26">
      <c r="A13" s="122">
        <v>0</v>
      </c>
      <c r="B13" s="123" t="s">
        <v>253</v>
      </c>
      <c r="C13" s="124" t="s">
        <v>268</v>
      </c>
      <c r="E13" s="91"/>
      <c r="F13" s="125"/>
      <c r="G13" s="91"/>
      <c r="H13" s="91"/>
      <c r="I13" s="126"/>
    </row>
    <row r="14" spans="1:26">
      <c r="A14" s="117">
        <v>72</v>
      </c>
      <c r="B14" s="118" t="s">
        <v>253</v>
      </c>
      <c r="C14" s="119" t="s">
        <v>269</v>
      </c>
      <c r="E14" s="85"/>
      <c r="F14" s="120"/>
      <c r="G14" s="85"/>
      <c r="H14" s="85"/>
      <c r="I14" s="121"/>
    </row>
    <row r="15" spans="1:26">
      <c r="A15" s="122">
        <v>3.75</v>
      </c>
      <c r="B15" s="123" t="s">
        <v>270</v>
      </c>
      <c r="C15" s="124" t="s">
        <v>271</v>
      </c>
      <c r="E15" s="91"/>
      <c r="F15" s="125"/>
      <c r="G15" s="91"/>
      <c r="H15" s="91"/>
      <c r="I15" s="126"/>
    </row>
    <row r="16" spans="1:26">
      <c r="A16" s="117">
        <v>6</v>
      </c>
      <c r="B16" s="118" t="s">
        <v>270</v>
      </c>
      <c r="C16" s="119" t="s">
        <v>272</v>
      </c>
      <c r="E16" s="85"/>
      <c r="F16" s="120"/>
      <c r="G16" s="85"/>
      <c r="H16" s="85"/>
      <c r="I16" s="121"/>
    </row>
    <row r="17" spans="1:9">
      <c r="A17" s="122">
        <v>10</v>
      </c>
      <c r="B17" s="123" t="s">
        <v>270</v>
      </c>
      <c r="C17" s="124" t="s">
        <v>273</v>
      </c>
      <c r="E17" s="91"/>
      <c r="F17" s="125"/>
      <c r="G17" s="91"/>
      <c r="H17" s="91"/>
      <c r="I17" s="126"/>
    </row>
    <row r="18" spans="1:9">
      <c r="A18" s="117">
        <v>4</v>
      </c>
      <c r="B18" s="118" t="s">
        <v>274</v>
      </c>
      <c r="C18" s="119" t="s">
        <v>275</v>
      </c>
      <c r="E18" s="85"/>
      <c r="F18" s="120"/>
      <c r="G18" s="85"/>
      <c r="H18" s="85"/>
      <c r="I18" s="121"/>
    </row>
    <row r="19" spans="1:9">
      <c r="A19" s="122">
        <v>2</v>
      </c>
      <c r="B19" s="123" t="s">
        <v>253</v>
      </c>
      <c r="C19" s="124" t="s">
        <v>276</v>
      </c>
      <c r="E19" s="91"/>
      <c r="F19" s="125"/>
      <c r="G19" s="91"/>
      <c r="H19" s="91"/>
      <c r="I19" s="126"/>
    </row>
    <row r="20" spans="1:9">
      <c r="A20" s="117">
        <v>4</v>
      </c>
      <c r="B20" s="118" t="s">
        <v>253</v>
      </c>
      <c r="C20" s="119" t="s">
        <v>277</v>
      </c>
      <c r="E20" s="85"/>
      <c r="F20" s="120"/>
      <c r="G20" s="85"/>
      <c r="H20" s="85"/>
      <c r="I20" s="129"/>
    </row>
    <row r="21" spans="1:9">
      <c r="A21" s="122">
        <v>1</v>
      </c>
      <c r="B21" s="123" t="s">
        <v>253</v>
      </c>
      <c r="C21" s="124" t="s">
        <v>278</v>
      </c>
      <c r="E21" s="91"/>
      <c r="F21" s="125"/>
      <c r="G21" s="91"/>
      <c r="H21" s="91"/>
      <c r="I21" s="126"/>
    </row>
    <row r="22" spans="1:9">
      <c r="A22" s="117">
        <v>1</v>
      </c>
      <c r="B22" s="118" t="s">
        <v>253</v>
      </c>
      <c r="C22" s="119" t="s">
        <v>279</v>
      </c>
      <c r="E22" s="85"/>
      <c r="F22" s="120"/>
      <c r="G22" s="85"/>
      <c r="H22" s="85"/>
      <c r="I22" s="121"/>
    </row>
    <row r="23" spans="1:9">
      <c r="A23" s="122">
        <v>2</v>
      </c>
      <c r="B23" s="123" t="s">
        <v>253</v>
      </c>
      <c r="C23" s="124" t="s">
        <v>280</v>
      </c>
      <c r="E23" s="91"/>
      <c r="F23" s="125"/>
      <c r="G23" s="91"/>
      <c r="H23" s="91"/>
      <c r="I23" s="126"/>
    </row>
    <row r="24" spans="1:9">
      <c r="A24" s="117">
        <v>1</v>
      </c>
      <c r="B24" s="118" t="s">
        <v>253</v>
      </c>
      <c r="C24" s="119" t="s">
        <v>281</v>
      </c>
      <c r="E24" s="85"/>
      <c r="F24" s="120"/>
      <c r="G24" s="85"/>
      <c r="H24" s="85"/>
      <c r="I24" s="121"/>
    </row>
    <row r="25" spans="1:9">
      <c r="A25" s="122">
        <v>2</v>
      </c>
      <c r="B25" s="123" t="s">
        <v>253</v>
      </c>
      <c r="C25" s="124" t="s">
        <v>282</v>
      </c>
      <c r="E25" s="91"/>
      <c r="F25" s="125"/>
      <c r="G25" s="91"/>
      <c r="H25" s="91"/>
      <c r="I25" s="126"/>
    </row>
    <row r="26" spans="1:9">
      <c r="A26" s="117">
        <v>1</v>
      </c>
      <c r="B26" s="118" t="s">
        <v>253</v>
      </c>
      <c r="C26" s="119" t="s">
        <v>283</v>
      </c>
      <c r="E26" s="85"/>
      <c r="F26" s="120"/>
      <c r="G26" s="85"/>
      <c r="H26" s="85"/>
      <c r="I26" s="121"/>
    </row>
    <row r="27" spans="1:9">
      <c r="A27" s="122">
        <v>6</v>
      </c>
      <c r="B27" s="123" t="s">
        <v>253</v>
      </c>
      <c r="C27" s="124" t="s">
        <v>284</v>
      </c>
      <c r="E27" s="91"/>
      <c r="F27" s="125"/>
      <c r="G27" s="91"/>
      <c r="H27" s="91"/>
      <c r="I27" s="130"/>
    </row>
    <row r="28" spans="1:9">
      <c r="A28" s="117"/>
      <c r="C28" s="120"/>
      <c r="E28" s="85"/>
      <c r="F28" s="120"/>
      <c r="G28" s="85"/>
      <c r="H28" s="85"/>
      <c r="I28" s="121"/>
    </row>
    <row r="29" spans="1:9">
      <c r="A29" s="122"/>
      <c r="C29" s="125"/>
      <c r="E29" s="91"/>
      <c r="F29" s="125"/>
      <c r="G29" s="91"/>
      <c r="H29" s="91"/>
      <c r="I29" s="126"/>
    </row>
    <row r="30" spans="1:9">
      <c r="A30" s="117"/>
      <c r="C30" s="120"/>
      <c r="E30" s="85"/>
      <c r="F30" s="120"/>
      <c r="G30" s="85"/>
      <c r="H30" s="85"/>
      <c r="I30" s="121"/>
    </row>
    <row r="31" spans="1:9">
      <c r="A31" s="122"/>
      <c r="C31" s="125"/>
      <c r="E31" s="91"/>
      <c r="F31" s="125"/>
      <c r="G31" s="91"/>
      <c r="H31" s="91"/>
      <c r="I31" s="126"/>
    </row>
    <row r="32" spans="1:9">
      <c r="A32" s="117"/>
      <c r="C32" s="120"/>
      <c r="E32" s="85"/>
      <c r="F32" s="120"/>
      <c r="G32" s="85"/>
      <c r="H32" s="85"/>
      <c r="I32" s="121"/>
    </row>
    <row r="33" spans="1:9">
      <c r="A33" s="122"/>
      <c r="C33" s="125"/>
      <c r="E33" s="91"/>
      <c r="F33" s="125"/>
      <c r="G33" s="91"/>
      <c r="H33" s="91"/>
      <c r="I33" s="126"/>
    </row>
    <row r="34" spans="1:9">
      <c r="A34" s="117"/>
      <c r="C34" s="120"/>
      <c r="E34" s="85"/>
      <c r="F34" s="120"/>
      <c r="G34" s="85"/>
      <c r="H34" s="85"/>
      <c r="I34" s="121"/>
    </row>
    <row r="35" spans="1:9">
      <c r="A35" s="122"/>
      <c r="C35" s="125"/>
      <c r="E35" s="91"/>
      <c r="F35" s="125"/>
      <c r="G35" s="91"/>
      <c r="H35" s="91"/>
      <c r="I35" s="130"/>
    </row>
    <row r="36" spans="1:9">
      <c r="A36" s="117"/>
      <c r="C36" s="120"/>
      <c r="E36" s="85"/>
      <c r="F36" s="120"/>
      <c r="G36" s="85"/>
      <c r="H36" s="85"/>
      <c r="I36" s="121"/>
    </row>
    <row r="37" spans="1:9">
      <c r="A37" s="122"/>
      <c r="C37" s="125"/>
      <c r="E37" s="91"/>
      <c r="F37" s="125"/>
      <c r="G37" s="91"/>
      <c r="H37" s="91"/>
      <c r="I37" s="130"/>
    </row>
    <row r="38" spans="1:9">
      <c r="A38" s="117"/>
      <c r="C38" s="120"/>
      <c r="E38" s="85"/>
      <c r="F38" s="120"/>
      <c r="G38" s="85"/>
      <c r="H38" s="85"/>
      <c r="I38" s="121"/>
    </row>
    <row r="39" spans="1:9">
      <c r="A39" s="122"/>
      <c r="C39" s="125"/>
      <c r="E39" s="91"/>
      <c r="F39" s="125"/>
      <c r="G39" s="91"/>
      <c r="H39" s="91"/>
      <c r="I39" s="126"/>
    </row>
    <row r="40" spans="1:9">
      <c r="A40" s="117"/>
      <c r="C40" s="120"/>
      <c r="E40" s="85"/>
      <c r="F40" s="120"/>
      <c r="G40" s="85"/>
      <c r="H40" s="85"/>
      <c r="I40" s="121"/>
    </row>
    <row r="41" spans="1:9">
      <c r="A41" s="122"/>
      <c r="C41" s="125"/>
      <c r="D41" s="131"/>
      <c r="E41" s="91"/>
      <c r="F41" s="125"/>
      <c r="G41" s="91"/>
      <c r="H41" s="91"/>
      <c r="I41" s="126"/>
    </row>
    <row r="42" spans="1:9" ht="12.75">
      <c r="A42" s="117"/>
      <c r="C42" s="120"/>
      <c r="E42" s="85"/>
      <c r="F42" s="120"/>
      <c r="G42" s="85"/>
      <c r="H42" s="85"/>
      <c r="I42" s="121"/>
    </row>
    <row r="43" spans="1:9" ht="12.75">
      <c r="A43" s="122"/>
      <c r="C43" s="125"/>
      <c r="E43" s="91"/>
      <c r="F43" s="125"/>
      <c r="G43" s="91"/>
      <c r="H43" s="91"/>
      <c r="I43" s="126"/>
    </row>
    <row r="44" spans="1:9" ht="12.75">
      <c r="A44" s="117"/>
      <c r="C44" s="120"/>
      <c r="E44" s="85"/>
      <c r="F44" s="120"/>
      <c r="G44" s="85"/>
      <c r="H44" s="85"/>
      <c r="I44" s="121"/>
    </row>
    <row r="45" spans="1:9" ht="12.75">
      <c r="A45" s="122"/>
      <c r="C45" s="125"/>
      <c r="E45" s="91"/>
      <c r="F45" s="125"/>
      <c r="G45" s="91"/>
      <c r="H45" s="91"/>
      <c r="I45" s="126"/>
    </row>
    <row r="46" spans="1:9" ht="12.75">
      <c r="A46" s="117"/>
      <c r="C46" s="120"/>
      <c r="E46" s="85"/>
      <c r="F46" s="120"/>
      <c r="G46" s="85"/>
      <c r="H46" s="85"/>
      <c r="I46" s="121"/>
    </row>
    <row r="47" spans="1:9" ht="12.75">
      <c r="A47" s="122"/>
      <c r="C47" s="125"/>
      <c r="E47" s="91"/>
      <c r="F47" s="125"/>
      <c r="G47" s="91"/>
      <c r="H47" s="91"/>
      <c r="I47" s="130"/>
    </row>
    <row r="48" spans="1:9" ht="12.75">
      <c r="A48" s="117"/>
      <c r="C48" s="120"/>
      <c r="E48" s="85"/>
      <c r="F48" s="120"/>
      <c r="G48" s="85"/>
      <c r="H48" s="85"/>
      <c r="I48" s="121"/>
    </row>
    <row r="49" spans="1:10" ht="12.75">
      <c r="A49" s="122"/>
      <c r="C49" s="125"/>
      <c r="E49" s="91"/>
      <c r="F49" s="125"/>
      <c r="G49" s="91"/>
      <c r="H49" s="91"/>
      <c r="I49" s="126"/>
    </row>
    <row r="50" spans="1:10" ht="12.75">
      <c r="A50" s="117"/>
      <c r="C50" s="120"/>
      <c r="E50" s="85"/>
      <c r="F50" s="120"/>
      <c r="G50" s="85"/>
      <c r="H50" s="85"/>
      <c r="I50" s="121"/>
      <c r="J50" s="127"/>
    </row>
    <row r="51" spans="1:10" ht="12.75">
      <c r="A51" s="122"/>
      <c r="C51" s="125"/>
      <c r="E51" s="91"/>
      <c r="F51" s="125"/>
      <c r="G51" s="91"/>
      <c r="H51" s="91"/>
      <c r="I51" s="126"/>
    </row>
    <row r="52" spans="1:10" ht="12.75">
      <c r="A52" s="117"/>
      <c r="C52" s="120"/>
      <c r="E52" s="85"/>
      <c r="F52" s="120"/>
      <c r="G52" s="85"/>
      <c r="H52" s="85"/>
      <c r="I52" s="121"/>
    </row>
    <row r="53" spans="1:10" ht="12.75">
      <c r="A53" s="122"/>
      <c r="C53" s="125"/>
      <c r="E53" s="91"/>
      <c r="F53" s="125"/>
      <c r="G53" s="91"/>
      <c r="H53" s="91"/>
      <c r="I53" s="130"/>
    </row>
    <row r="54" spans="1:10" ht="12.75">
      <c r="A54" s="117"/>
      <c r="C54" s="120"/>
      <c r="E54" s="85"/>
      <c r="F54" s="120"/>
      <c r="G54" s="85"/>
      <c r="H54" s="85"/>
      <c r="I54" s="121"/>
    </row>
    <row r="55" spans="1:10" ht="12.75">
      <c r="A55" s="122"/>
      <c r="C55" s="125"/>
      <c r="E55" s="91"/>
      <c r="F55" s="125"/>
      <c r="G55" s="91"/>
      <c r="H55" s="91"/>
      <c r="I55" s="126"/>
    </row>
    <row r="56" spans="1:10" ht="12.75">
      <c r="A56" s="117"/>
      <c r="C56" s="120"/>
      <c r="E56" s="85"/>
      <c r="F56" s="120"/>
      <c r="G56" s="85"/>
      <c r="H56" s="85"/>
      <c r="I56" s="121"/>
    </row>
    <row r="57" spans="1:10" ht="12.75">
      <c r="A57" s="122"/>
      <c r="C57" s="125"/>
      <c r="E57" s="91"/>
      <c r="F57" s="125"/>
      <c r="G57" s="91"/>
      <c r="H57" s="91"/>
      <c r="I57" s="130"/>
    </row>
    <row r="58" spans="1:10" ht="12.75">
      <c r="A58" s="117"/>
      <c r="C58" s="120"/>
      <c r="E58" s="85"/>
      <c r="F58" s="120"/>
      <c r="G58" s="85"/>
      <c r="H58" s="85"/>
      <c r="I58" s="121"/>
    </row>
    <row r="59" spans="1:10" ht="12.75">
      <c r="A59" s="122"/>
      <c r="C59" s="125"/>
      <c r="E59" s="91"/>
      <c r="F59" s="125"/>
      <c r="G59" s="91"/>
      <c r="H59" s="91"/>
      <c r="I59" s="126"/>
    </row>
    <row r="60" spans="1:10" ht="12.75">
      <c r="A60" s="117"/>
      <c r="C60" s="120"/>
      <c r="E60" s="85"/>
      <c r="F60" s="120"/>
      <c r="G60" s="85"/>
      <c r="H60" s="85"/>
      <c r="I60" s="121"/>
    </row>
    <row r="61" spans="1:10" ht="12.75">
      <c r="A61" s="122"/>
      <c r="C61" s="125"/>
      <c r="E61" s="91"/>
      <c r="F61" s="125"/>
      <c r="G61" s="91"/>
      <c r="H61" s="91"/>
      <c r="I61" s="126"/>
    </row>
    <row r="62" spans="1:10" ht="12.75">
      <c r="A62" s="117"/>
      <c r="C62" s="120"/>
      <c r="E62" s="85"/>
      <c r="F62" s="120"/>
      <c r="G62" s="85"/>
      <c r="H62" s="85"/>
      <c r="I62" s="121"/>
    </row>
    <row r="63" spans="1:10" ht="12.75">
      <c r="A63" s="122"/>
      <c r="C63" s="125"/>
      <c r="E63" s="91"/>
      <c r="F63" s="125"/>
      <c r="G63" s="91"/>
      <c r="H63" s="91"/>
      <c r="I63" s="126"/>
    </row>
    <row r="64" spans="1:10" ht="12.75">
      <c r="A64" s="117"/>
      <c r="C64" s="120"/>
      <c r="E64" s="85"/>
      <c r="F64" s="120"/>
      <c r="G64" s="85"/>
      <c r="H64" s="85"/>
      <c r="I64" s="121"/>
    </row>
    <row r="65" spans="1:9" ht="12.75">
      <c r="A65" s="122"/>
      <c r="C65" s="125"/>
      <c r="E65" s="91"/>
      <c r="F65" s="125"/>
      <c r="G65" s="91"/>
      <c r="H65" s="91"/>
      <c r="I65" s="130"/>
    </row>
    <row r="66" spans="1:9" ht="12.75">
      <c r="A66" s="117"/>
      <c r="C66" s="120"/>
      <c r="E66" s="85"/>
      <c r="F66" s="120"/>
      <c r="G66" s="85"/>
      <c r="H66" s="85"/>
      <c r="I66" s="129"/>
    </row>
    <row r="67" spans="1:9" ht="12.75">
      <c r="A67" s="122"/>
      <c r="C67" s="125"/>
      <c r="E67" s="91"/>
      <c r="F67" s="125"/>
      <c r="G67" s="91"/>
      <c r="H67" s="91"/>
      <c r="I67" s="126"/>
    </row>
    <row r="68" spans="1:9" ht="12.75">
      <c r="A68" s="117"/>
      <c r="C68" s="120"/>
      <c r="E68" s="85"/>
      <c r="F68" s="120"/>
      <c r="G68" s="85"/>
      <c r="H68" s="85"/>
      <c r="I68" s="121"/>
    </row>
    <row r="69" spans="1:9" ht="12.75">
      <c r="A69" s="122"/>
      <c r="C69" s="125"/>
      <c r="E69" s="91"/>
      <c r="F69" s="125"/>
      <c r="G69" s="91"/>
      <c r="H69" s="91"/>
      <c r="I69" s="130"/>
    </row>
    <row r="70" spans="1:9" ht="12.75">
      <c r="A70" s="117"/>
      <c r="C70" s="120"/>
      <c r="E70" s="85"/>
      <c r="F70" s="120"/>
      <c r="G70" s="85"/>
      <c r="H70" s="85"/>
      <c r="I70" s="129"/>
    </row>
    <row r="71" spans="1:9" ht="12.75">
      <c r="A71" s="122"/>
      <c r="C71" s="125"/>
      <c r="E71" s="91"/>
      <c r="F71" s="125"/>
      <c r="G71" s="91"/>
      <c r="H71" s="91"/>
      <c r="I71" s="130"/>
    </row>
    <row r="72" spans="1:9" ht="12.75">
      <c r="A72" s="117"/>
      <c r="C72" s="120"/>
      <c r="E72" s="85"/>
      <c r="F72" s="120"/>
      <c r="G72" s="85"/>
      <c r="H72" s="85"/>
      <c r="I72" s="129"/>
    </row>
    <row r="73" spans="1:9" ht="12.75">
      <c r="A73" s="122"/>
      <c r="C73" s="125"/>
      <c r="E73" s="91"/>
      <c r="F73" s="125"/>
      <c r="G73" s="91"/>
      <c r="H73" s="91"/>
      <c r="I73" s="130"/>
    </row>
    <row r="74" spans="1:9" ht="12.75">
      <c r="A74" s="117"/>
      <c r="C74" s="120"/>
      <c r="E74" s="85"/>
      <c r="F74" s="120"/>
      <c r="G74" s="85"/>
      <c r="H74" s="85"/>
      <c r="I74" s="121"/>
    </row>
    <row r="75" spans="1:9" ht="12.75">
      <c r="A75" s="122"/>
      <c r="C75" s="125"/>
      <c r="E75" s="91"/>
      <c r="F75" s="125"/>
      <c r="G75" s="91"/>
      <c r="H75" s="91"/>
      <c r="I75" s="126"/>
    </row>
    <row r="76" spans="1:9" ht="12.75">
      <c r="A76" s="117"/>
      <c r="C76" s="120"/>
      <c r="E76" s="85"/>
      <c r="F76" s="120"/>
      <c r="G76" s="85"/>
      <c r="H76" s="85"/>
      <c r="I76" s="121"/>
    </row>
    <row r="77" spans="1:9" ht="12.75">
      <c r="A77" s="122"/>
      <c r="C77" s="125"/>
      <c r="E77" s="91"/>
      <c r="F77" s="125"/>
      <c r="G77" s="91"/>
      <c r="H77" s="91"/>
      <c r="I77" s="126"/>
    </row>
    <row r="78" spans="1:9" ht="12.75">
      <c r="A78" s="117"/>
      <c r="C78" s="120"/>
      <c r="E78" s="85"/>
      <c r="F78" s="120"/>
      <c r="G78" s="85"/>
      <c r="H78" s="85"/>
      <c r="I78" s="121"/>
    </row>
    <row r="79" spans="1:9" ht="12.75">
      <c r="A79" s="122"/>
      <c r="C79" s="125"/>
      <c r="E79" s="91"/>
      <c r="F79" s="125"/>
      <c r="G79" s="91"/>
      <c r="H79" s="91"/>
      <c r="I79" s="126"/>
    </row>
    <row r="80" spans="1:9" ht="12.75">
      <c r="A80" s="117"/>
      <c r="C80" s="120"/>
      <c r="E80" s="85"/>
      <c r="F80" s="120"/>
      <c r="G80" s="85"/>
      <c r="H80" s="85"/>
      <c r="I80" s="121"/>
    </row>
    <row r="81" spans="1:9" ht="12.75">
      <c r="A81" s="122"/>
      <c r="C81" s="125"/>
      <c r="E81" s="91"/>
      <c r="F81" s="125"/>
      <c r="G81" s="91"/>
      <c r="H81" s="91"/>
      <c r="I81" s="126"/>
    </row>
    <row r="82" spans="1:9" ht="12.75">
      <c r="A82" s="117"/>
      <c r="C82" s="120"/>
      <c r="E82" s="85"/>
      <c r="F82" s="120"/>
      <c r="G82" s="85"/>
      <c r="H82" s="85"/>
      <c r="I82" s="121"/>
    </row>
    <row r="83" spans="1:9" ht="12.75">
      <c r="A83" s="122"/>
      <c r="C83" s="125"/>
      <c r="E83" s="91"/>
      <c r="F83" s="125"/>
      <c r="G83" s="91"/>
      <c r="H83" s="91"/>
      <c r="I83" s="126"/>
    </row>
    <row r="84" spans="1:9" ht="12.75">
      <c r="A84" s="117"/>
      <c r="C84" s="120"/>
      <c r="E84" s="85"/>
      <c r="F84" s="120"/>
      <c r="G84" s="85"/>
      <c r="H84" s="85"/>
      <c r="I84" s="121"/>
    </row>
    <row r="85" spans="1:9" ht="12.75">
      <c r="A85" s="122"/>
      <c r="C85" s="125"/>
      <c r="E85" s="91"/>
      <c r="F85" s="125"/>
      <c r="G85" s="91"/>
      <c r="H85" s="91"/>
      <c r="I85" s="126"/>
    </row>
    <row r="86" spans="1:9" ht="12.75">
      <c r="A86" s="117"/>
      <c r="C86" s="120"/>
      <c r="E86" s="85"/>
      <c r="F86" s="120"/>
      <c r="G86" s="85"/>
      <c r="H86" s="85"/>
      <c r="I86" s="121"/>
    </row>
    <row r="87" spans="1:9" ht="12.75">
      <c r="A87" s="122"/>
      <c r="C87" s="125"/>
      <c r="E87" s="91"/>
      <c r="F87" s="125"/>
      <c r="G87" s="91"/>
      <c r="H87" s="91"/>
      <c r="I87" s="126"/>
    </row>
    <row r="88" spans="1:9" ht="12.75">
      <c r="A88" s="117"/>
      <c r="C88" s="120"/>
      <c r="E88" s="85"/>
      <c r="F88" s="120"/>
      <c r="G88" s="85"/>
      <c r="H88" s="85"/>
      <c r="I88" s="129"/>
    </row>
    <row r="89" spans="1:9" ht="12.75">
      <c r="A89" s="122"/>
      <c r="C89" s="125"/>
      <c r="E89" s="91"/>
      <c r="F89" s="125"/>
      <c r="G89" s="91"/>
      <c r="H89" s="91"/>
      <c r="I89" s="130"/>
    </row>
    <row r="90" spans="1:9" ht="12.75">
      <c r="A90" s="117"/>
      <c r="C90" s="120"/>
      <c r="E90" s="85"/>
      <c r="F90" s="120"/>
      <c r="G90" s="85"/>
      <c r="H90" s="85"/>
      <c r="I90" s="129"/>
    </row>
    <row r="91" spans="1:9" ht="12.75">
      <c r="A91" s="122"/>
      <c r="C91" s="125"/>
      <c r="D91" s="131"/>
      <c r="E91" s="91"/>
      <c r="F91" s="125"/>
      <c r="G91" s="91"/>
      <c r="H91" s="91"/>
      <c r="I91" s="126"/>
    </row>
    <row r="92" spans="1:9" ht="12.75">
      <c r="A92" s="117"/>
      <c r="C92" s="120"/>
      <c r="E92" s="85"/>
      <c r="F92" s="120"/>
      <c r="G92" s="85"/>
      <c r="H92" s="85"/>
      <c r="I92" s="121"/>
    </row>
    <row r="93" spans="1:9" ht="12.75">
      <c r="A93" s="132"/>
      <c r="C93" s="133"/>
      <c r="E93" s="109"/>
      <c r="F93" s="133"/>
      <c r="G93" s="109"/>
      <c r="H93" s="109"/>
      <c r="I93" s="134"/>
    </row>
  </sheetData>
  <dataValidations count="2">
    <dataValidation type="custom" allowBlank="1" showDropDown="1" sqref="A2:A93 I2:I93">
      <formula1>AND(ISNUMBER(A2),(NOT(OR(NOT(ISERROR(DATEVALUE(A2))), AND(ISNUMBER(A2), LEFT(CELL("format", A2))="D")))))</formula1>
    </dataValidation>
    <dataValidation allowBlank="1" showDropDown="1" sqref="C2:C93 F2:F93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21.140625" customWidth="1"/>
    <col min="3" max="3" width="13" customWidth="1"/>
    <col min="4" max="4" width="37.5703125" customWidth="1"/>
    <col min="5" max="5" width="15.7109375" customWidth="1"/>
    <col min="6" max="6" width="13.42578125" customWidth="1"/>
    <col min="7" max="7" width="37.5703125" customWidth="1"/>
  </cols>
  <sheetData>
    <row r="1" spans="1:26" ht="15.75" customHeight="1">
      <c r="A1" s="111" t="s">
        <v>243</v>
      </c>
      <c r="B1" s="112" t="s">
        <v>245</v>
      </c>
      <c r="C1" s="112" t="s">
        <v>246</v>
      </c>
      <c r="D1" s="112" t="s">
        <v>248</v>
      </c>
      <c r="E1" s="112" t="s">
        <v>251</v>
      </c>
      <c r="F1" s="112" t="s">
        <v>244</v>
      </c>
      <c r="G1" s="115" t="s">
        <v>252</v>
      </c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>
      <c r="A2" s="117">
        <v>1</v>
      </c>
      <c r="B2" s="118" t="s">
        <v>285</v>
      </c>
      <c r="C2" s="118" t="s">
        <v>286</v>
      </c>
      <c r="D2" s="118" t="s">
        <v>287</v>
      </c>
      <c r="E2" s="121">
        <v>260</v>
      </c>
      <c r="F2" s="118">
        <v>300</v>
      </c>
      <c r="G2" s="135" t="s">
        <v>288</v>
      </c>
    </row>
    <row r="3" spans="1:26">
      <c r="A3" s="122">
        <v>1</v>
      </c>
      <c r="B3" s="123" t="s">
        <v>285</v>
      </c>
      <c r="C3" s="123" t="s">
        <v>289</v>
      </c>
      <c r="D3" s="123" t="s">
        <v>290</v>
      </c>
      <c r="E3" s="126">
        <v>260</v>
      </c>
      <c r="F3" s="123">
        <v>300</v>
      </c>
      <c r="G3" s="136" t="s">
        <v>291</v>
      </c>
    </row>
    <row r="4" spans="1:26">
      <c r="A4" s="117">
        <v>1</v>
      </c>
      <c r="B4" s="118" t="s">
        <v>292</v>
      </c>
      <c r="C4" s="118" t="s">
        <v>293</v>
      </c>
      <c r="D4" s="118" t="s">
        <v>294</v>
      </c>
      <c r="E4" s="121">
        <v>1093.8800000000001</v>
      </c>
      <c r="F4" s="118" t="s">
        <v>295</v>
      </c>
      <c r="G4" s="137" t="s">
        <v>296</v>
      </c>
    </row>
    <row r="5" spans="1:26">
      <c r="A5" s="122">
        <v>1</v>
      </c>
      <c r="B5" s="123" t="s">
        <v>297</v>
      </c>
      <c r="C5" s="123" t="s">
        <v>298</v>
      </c>
      <c r="D5" s="123" t="s">
        <v>299</v>
      </c>
      <c r="E5" s="126">
        <v>610</v>
      </c>
      <c r="G5" s="136" t="s">
        <v>300</v>
      </c>
    </row>
    <row r="6" spans="1:26">
      <c r="A6" s="117">
        <v>1</v>
      </c>
      <c r="B6" s="118" t="s">
        <v>297</v>
      </c>
      <c r="C6" s="118" t="s">
        <v>301</v>
      </c>
      <c r="D6" s="118" t="s">
        <v>302</v>
      </c>
      <c r="E6" s="121">
        <v>466</v>
      </c>
      <c r="G6" s="135" t="s">
        <v>303</v>
      </c>
    </row>
    <row r="7" spans="1:26">
      <c r="A7" s="122">
        <v>4</v>
      </c>
      <c r="B7" s="123" t="s">
        <v>285</v>
      </c>
      <c r="C7" s="123" t="s">
        <v>304</v>
      </c>
      <c r="D7" s="123" t="s">
        <v>305</v>
      </c>
      <c r="E7" s="126">
        <v>606</v>
      </c>
      <c r="F7" s="123">
        <v>300</v>
      </c>
      <c r="G7" s="136" t="s">
        <v>306</v>
      </c>
    </row>
    <row r="8" spans="1:26">
      <c r="A8" s="117">
        <v>1</v>
      </c>
      <c r="B8" s="118" t="s">
        <v>285</v>
      </c>
      <c r="C8" s="118" t="s">
        <v>307</v>
      </c>
      <c r="D8" s="118" t="s">
        <v>308</v>
      </c>
      <c r="E8" s="129"/>
    </row>
    <row r="9" spans="1:26">
      <c r="A9" s="122">
        <v>1</v>
      </c>
      <c r="B9" s="123" t="s">
        <v>309</v>
      </c>
      <c r="C9" s="123" t="s">
        <v>310</v>
      </c>
      <c r="D9" s="123" t="s">
        <v>308</v>
      </c>
      <c r="E9" s="126">
        <v>546</v>
      </c>
      <c r="G9" s="136" t="s">
        <v>311</v>
      </c>
    </row>
    <row r="10" spans="1:26">
      <c r="A10" s="117">
        <v>1</v>
      </c>
      <c r="B10" s="118" t="s">
        <v>312</v>
      </c>
      <c r="C10" s="118" t="s">
        <v>310</v>
      </c>
      <c r="D10" s="118" t="s">
        <v>308</v>
      </c>
      <c r="E10" s="121">
        <v>557</v>
      </c>
      <c r="G10" s="135" t="s">
        <v>313</v>
      </c>
    </row>
    <row r="11" spans="1:26">
      <c r="A11" s="122">
        <v>1</v>
      </c>
      <c r="B11" s="123" t="s">
        <v>314</v>
      </c>
      <c r="C11" s="123" t="s">
        <v>315</v>
      </c>
      <c r="D11" s="123" t="s">
        <v>308</v>
      </c>
      <c r="E11" s="126">
        <v>1004</v>
      </c>
      <c r="G11" s="136" t="s">
        <v>316</v>
      </c>
    </row>
    <row r="12" spans="1:26">
      <c r="A12" s="117">
        <v>1</v>
      </c>
      <c r="B12" s="118" t="s">
        <v>285</v>
      </c>
      <c r="C12" s="118" t="s">
        <v>317</v>
      </c>
      <c r="D12" s="118" t="s">
        <v>318</v>
      </c>
      <c r="E12" s="121">
        <v>343</v>
      </c>
      <c r="G12" s="135" t="s">
        <v>319</v>
      </c>
    </row>
    <row r="13" spans="1:26">
      <c r="A13" s="122">
        <v>1</v>
      </c>
      <c r="B13" s="123" t="s">
        <v>297</v>
      </c>
      <c r="C13" s="123" t="s">
        <v>320</v>
      </c>
      <c r="D13" s="123" t="s">
        <v>321</v>
      </c>
      <c r="E13" s="126">
        <v>1450</v>
      </c>
      <c r="F13" s="123" t="s">
        <v>322</v>
      </c>
      <c r="G13" s="136" t="s">
        <v>323</v>
      </c>
    </row>
    <row r="14" spans="1:26">
      <c r="A14" s="117">
        <v>1</v>
      </c>
      <c r="B14" s="118" t="s">
        <v>324</v>
      </c>
      <c r="C14" s="118" t="s">
        <v>325</v>
      </c>
      <c r="D14" s="118" t="s">
        <v>326</v>
      </c>
      <c r="E14" s="121">
        <v>3381</v>
      </c>
      <c r="F14" s="118" t="s">
        <v>327</v>
      </c>
      <c r="G14" s="135" t="s">
        <v>328</v>
      </c>
    </row>
    <row r="15" spans="1:26">
      <c r="A15" s="122">
        <v>3</v>
      </c>
      <c r="B15" s="123" t="s">
        <v>329</v>
      </c>
      <c r="C15" s="123" t="s">
        <v>330</v>
      </c>
      <c r="D15" s="123" t="s">
        <v>331</v>
      </c>
      <c r="E15" s="126">
        <v>1500</v>
      </c>
      <c r="F15" s="123" t="s">
        <v>259</v>
      </c>
      <c r="G15" s="136" t="s">
        <v>332</v>
      </c>
    </row>
    <row r="16" spans="1:26">
      <c r="A16" s="117">
        <v>1</v>
      </c>
      <c r="B16" s="118" t="s">
        <v>333</v>
      </c>
      <c r="C16" s="118" t="s">
        <v>334</v>
      </c>
      <c r="D16" s="118" t="s">
        <v>335</v>
      </c>
      <c r="E16" s="121">
        <v>944</v>
      </c>
      <c r="G16" s="135" t="s">
        <v>336</v>
      </c>
    </row>
    <row r="17" spans="1:7">
      <c r="A17" s="122">
        <v>2</v>
      </c>
      <c r="B17" s="123" t="s">
        <v>329</v>
      </c>
      <c r="C17" s="123" t="s">
        <v>337</v>
      </c>
      <c r="D17" s="123" t="s">
        <v>338</v>
      </c>
      <c r="E17" s="126">
        <v>90</v>
      </c>
    </row>
    <row r="18" spans="1:7">
      <c r="A18" s="117">
        <v>6</v>
      </c>
      <c r="B18" s="118" t="s">
        <v>339</v>
      </c>
      <c r="C18" s="118" t="s">
        <v>340</v>
      </c>
      <c r="D18" s="118" t="s">
        <v>338</v>
      </c>
      <c r="E18" s="121">
        <v>309</v>
      </c>
      <c r="G18" s="135" t="s">
        <v>341</v>
      </c>
    </row>
    <row r="19" spans="1:7">
      <c r="A19" s="122">
        <v>21</v>
      </c>
      <c r="B19" s="123" t="s">
        <v>339</v>
      </c>
      <c r="C19" s="123" t="s">
        <v>342</v>
      </c>
      <c r="D19" s="123" t="s">
        <v>338</v>
      </c>
      <c r="E19" s="126">
        <v>99</v>
      </c>
      <c r="G19" s="136" t="s">
        <v>343</v>
      </c>
    </row>
    <row r="20" spans="1:7">
      <c r="A20" s="117">
        <v>1</v>
      </c>
      <c r="B20" s="120"/>
      <c r="D20" s="118" t="s">
        <v>344</v>
      </c>
      <c r="E20" s="129"/>
      <c r="F20" s="118">
        <v>200</v>
      </c>
    </row>
    <row r="21" spans="1:7">
      <c r="A21" s="122">
        <v>2</v>
      </c>
      <c r="B21" s="123" t="s">
        <v>345</v>
      </c>
      <c r="C21" s="123" t="s">
        <v>346</v>
      </c>
      <c r="D21" s="123" t="s">
        <v>347</v>
      </c>
      <c r="E21" s="126">
        <v>1650</v>
      </c>
      <c r="G21" s="136" t="s">
        <v>348</v>
      </c>
    </row>
    <row r="22" spans="1:7">
      <c r="A22" s="117">
        <v>1</v>
      </c>
      <c r="B22" s="118" t="s">
        <v>349</v>
      </c>
      <c r="C22" s="118" t="s">
        <v>350</v>
      </c>
      <c r="D22" s="118" t="s">
        <v>351</v>
      </c>
      <c r="E22" s="121">
        <v>350</v>
      </c>
    </row>
    <row r="23" spans="1:7">
      <c r="A23" s="122">
        <v>1</v>
      </c>
      <c r="B23" s="123" t="s">
        <v>349</v>
      </c>
      <c r="C23" s="123" t="s">
        <v>352</v>
      </c>
      <c r="D23" s="123" t="s">
        <v>353</v>
      </c>
      <c r="E23" s="126">
        <v>1160</v>
      </c>
      <c r="G23" s="136" t="s">
        <v>354</v>
      </c>
    </row>
    <row r="24" spans="1:7">
      <c r="A24" s="117">
        <v>1</v>
      </c>
      <c r="B24" s="118" t="s">
        <v>349</v>
      </c>
      <c r="C24" s="118" t="s">
        <v>355</v>
      </c>
      <c r="D24" s="118" t="s">
        <v>356</v>
      </c>
      <c r="E24" s="121">
        <v>950</v>
      </c>
      <c r="G24" s="135" t="s">
        <v>357</v>
      </c>
    </row>
    <row r="25" spans="1:7">
      <c r="A25" s="122">
        <v>2</v>
      </c>
      <c r="B25" s="123" t="s">
        <v>358</v>
      </c>
      <c r="C25" s="123" t="s">
        <v>359</v>
      </c>
      <c r="D25" s="123" t="s">
        <v>360</v>
      </c>
      <c r="E25" s="126">
        <v>460</v>
      </c>
      <c r="G25" s="136" t="s">
        <v>361</v>
      </c>
    </row>
    <row r="26" spans="1:7">
      <c r="A26" s="117">
        <v>1</v>
      </c>
      <c r="B26" s="118" t="s">
        <v>362</v>
      </c>
      <c r="C26" s="118" t="s">
        <v>363</v>
      </c>
      <c r="D26" s="118" t="s">
        <v>364</v>
      </c>
      <c r="E26" s="121">
        <v>2954</v>
      </c>
      <c r="G26" s="135" t="s">
        <v>365</v>
      </c>
    </row>
    <row r="27" spans="1:7">
      <c r="A27" s="122">
        <v>1</v>
      </c>
      <c r="B27" s="123" t="s">
        <v>366</v>
      </c>
      <c r="C27" s="123">
        <v>171821</v>
      </c>
      <c r="D27" s="123" t="s">
        <v>367</v>
      </c>
      <c r="E27" s="130"/>
      <c r="F27" s="123" t="s">
        <v>368</v>
      </c>
    </row>
    <row r="28" spans="1:7">
      <c r="A28" s="117">
        <v>3</v>
      </c>
      <c r="B28" s="118" t="s">
        <v>339</v>
      </c>
      <c r="C28" s="118" t="s">
        <v>369</v>
      </c>
      <c r="D28" s="118" t="s">
        <v>370</v>
      </c>
      <c r="E28" s="121">
        <v>236</v>
      </c>
      <c r="G28" s="135" t="s">
        <v>371</v>
      </c>
    </row>
    <row r="29" spans="1:7">
      <c r="A29" s="122">
        <v>2</v>
      </c>
      <c r="B29" s="123" t="s">
        <v>339</v>
      </c>
      <c r="C29" s="123" t="s">
        <v>369</v>
      </c>
      <c r="D29" s="123" t="s">
        <v>372</v>
      </c>
      <c r="E29" s="126">
        <v>236</v>
      </c>
      <c r="G29" s="136" t="s">
        <v>371</v>
      </c>
    </row>
    <row r="30" spans="1:7">
      <c r="A30" s="117">
        <v>6</v>
      </c>
      <c r="B30" s="118" t="s">
        <v>373</v>
      </c>
      <c r="C30" s="118" t="s">
        <v>374</v>
      </c>
      <c r="D30" s="118" t="s">
        <v>375</v>
      </c>
      <c r="E30" s="121">
        <v>228</v>
      </c>
      <c r="G30" s="135" t="s">
        <v>376</v>
      </c>
    </row>
    <row r="31" spans="1:7">
      <c r="A31" s="122">
        <v>1</v>
      </c>
      <c r="B31" s="123" t="s">
        <v>377</v>
      </c>
      <c r="C31" s="123">
        <v>5002741</v>
      </c>
      <c r="D31" s="123" t="s">
        <v>378</v>
      </c>
      <c r="E31" s="126">
        <v>506</v>
      </c>
      <c r="G31" s="136" t="s">
        <v>379</v>
      </c>
    </row>
    <row r="32" spans="1:7">
      <c r="A32" s="117">
        <v>1</v>
      </c>
      <c r="B32" s="118" t="s">
        <v>377</v>
      </c>
      <c r="C32" s="118">
        <v>290184</v>
      </c>
      <c r="D32" s="118" t="s">
        <v>380</v>
      </c>
      <c r="E32" s="121">
        <v>800</v>
      </c>
      <c r="G32" s="135" t="s">
        <v>381</v>
      </c>
    </row>
    <row r="33" spans="1:7">
      <c r="A33" s="122">
        <v>1</v>
      </c>
      <c r="B33" s="123" t="s">
        <v>377</v>
      </c>
      <c r="C33" s="123">
        <v>290202</v>
      </c>
      <c r="D33" s="123" t="s">
        <v>382</v>
      </c>
      <c r="E33" s="126">
        <v>800</v>
      </c>
      <c r="G33" s="136" t="s">
        <v>383</v>
      </c>
    </row>
    <row r="34" spans="1:7">
      <c r="A34" s="117">
        <v>1</v>
      </c>
      <c r="B34" s="118" t="s">
        <v>377</v>
      </c>
      <c r="C34" s="118">
        <v>289335</v>
      </c>
      <c r="D34" s="118" t="s">
        <v>384</v>
      </c>
      <c r="E34" s="121">
        <v>5231</v>
      </c>
      <c r="G34" s="135" t="s">
        <v>385</v>
      </c>
    </row>
    <row r="35" spans="1:7">
      <c r="A35" s="122">
        <v>1</v>
      </c>
      <c r="B35" s="123" t="s">
        <v>386</v>
      </c>
      <c r="C35" s="123" t="s">
        <v>387</v>
      </c>
      <c r="D35" s="123" t="s">
        <v>388</v>
      </c>
      <c r="E35" s="130"/>
    </row>
    <row r="36" spans="1:7">
      <c r="A36" s="117">
        <v>1</v>
      </c>
      <c r="B36" s="118" t="s">
        <v>389</v>
      </c>
      <c r="C36" s="118">
        <v>4725001200</v>
      </c>
      <c r="D36" s="118" t="s">
        <v>390</v>
      </c>
      <c r="E36" s="121">
        <v>12342</v>
      </c>
      <c r="G36" s="135" t="s">
        <v>391</v>
      </c>
    </row>
    <row r="37" spans="1:7">
      <c r="A37" s="122">
        <v>1</v>
      </c>
      <c r="B37" s="123" t="s">
        <v>377</v>
      </c>
      <c r="D37" s="123" t="s">
        <v>392</v>
      </c>
      <c r="E37" s="130"/>
    </row>
    <row r="38" spans="1:7">
      <c r="A38" s="117">
        <v>1</v>
      </c>
      <c r="B38" s="118" t="s">
        <v>393</v>
      </c>
      <c r="C38" s="118">
        <v>1052508</v>
      </c>
      <c r="D38" s="118" t="s">
        <v>394</v>
      </c>
      <c r="E38" s="121">
        <v>370</v>
      </c>
      <c r="G38" s="135" t="s">
        <v>395</v>
      </c>
    </row>
    <row r="39" spans="1:7">
      <c r="A39" s="122">
        <v>1</v>
      </c>
      <c r="B39" s="123" t="s">
        <v>297</v>
      </c>
      <c r="C39" s="123" t="s">
        <v>396</v>
      </c>
      <c r="D39" s="123" t="s">
        <v>397</v>
      </c>
      <c r="E39" s="126">
        <v>868</v>
      </c>
      <c r="G39" s="136" t="s">
        <v>398</v>
      </c>
    </row>
    <row r="40" spans="1:7">
      <c r="A40" s="117">
        <v>1</v>
      </c>
      <c r="B40" s="118" t="s">
        <v>399</v>
      </c>
      <c r="C40" s="118" t="s">
        <v>400</v>
      </c>
      <c r="D40" s="118" t="s">
        <v>401</v>
      </c>
      <c r="E40" s="121">
        <v>984</v>
      </c>
      <c r="G40" s="135" t="s">
        <v>402</v>
      </c>
    </row>
    <row r="41" spans="1:7">
      <c r="A41" s="122">
        <v>3</v>
      </c>
      <c r="B41" s="123" t="s">
        <v>309</v>
      </c>
      <c r="C41" s="131" t="s">
        <v>403</v>
      </c>
      <c r="D41" s="123" t="s">
        <v>404</v>
      </c>
      <c r="E41" s="126">
        <v>907</v>
      </c>
      <c r="G41" s="136" t="s">
        <v>405</v>
      </c>
    </row>
    <row r="42" spans="1:7" ht="12.75">
      <c r="A42" s="117">
        <v>2</v>
      </c>
      <c r="B42" s="118" t="s">
        <v>309</v>
      </c>
      <c r="C42" s="118" t="s">
        <v>100</v>
      </c>
      <c r="D42" s="118" t="s">
        <v>397</v>
      </c>
      <c r="E42" s="121">
        <v>289</v>
      </c>
      <c r="G42" s="135" t="s">
        <v>406</v>
      </c>
    </row>
    <row r="43" spans="1:7" ht="12.75">
      <c r="A43" s="122">
        <v>1</v>
      </c>
      <c r="B43" s="123" t="s">
        <v>309</v>
      </c>
      <c r="C43" s="123" t="s">
        <v>407</v>
      </c>
      <c r="D43" s="123" t="s">
        <v>404</v>
      </c>
      <c r="E43" s="126">
        <v>567</v>
      </c>
      <c r="G43" s="136" t="s">
        <v>408</v>
      </c>
    </row>
    <row r="44" spans="1:7" ht="12.75">
      <c r="A44" s="117">
        <v>1</v>
      </c>
      <c r="B44" s="118" t="s">
        <v>309</v>
      </c>
      <c r="C44" s="118" t="s">
        <v>409</v>
      </c>
      <c r="D44" s="118" t="s">
        <v>397</v>
      </c>
      <c r="E44" s="121">
        <v>486</v>
      </c>
      <c r="G44" s="135" t="s">
        <v>410</v>
      </c>
    </row>
    <row r="45" spans="1:7" ht="12.75">
      <c r="A45" s="122">
        <v>1</v>
      </c>
      <c r="B45" s="123" t="s">
        <v>309</v>
      </c>
      <c r="C45" s="123" t="s">
        <v>407</v>
      </c>
      <c r="D45" s="123" t="s">
        <v>404</v>
      </c>
      <c r="E45" s="126">
        <v>567</v>
      </c>
      <c r="G45" s="136" t="s">
        <v>408</v>
      </c>
    </row>
    <row r="46" spans="1:7" ht="12.75">
      <c r="A46" s="117">
        <v>2</v>
      </c>
      <c r="B46" s="118" t="s">
        <v>399</v>
      </c>
      <c r="C46" s="118" t="s">
        <v>411</v>
      </c>
      <c r="D46" s="118" t="s">
        <v>404</v>
      </c>
      <c r="E46" s="121">
        <v>226</v>
      </c>
      <c r="G46" s="135" t="s">
        <v>412</v>
      </c>
    </row>
    <row r="47" spans="1:7" ht="12.75">
      <c r="A47" s="122">
        <v>1</v>
      </c>
      <c r="B47" s="123" t="s">
        <v>399</v>
      </c>
      <c r="C47" s="123" t="s">
        <v>413</v>
      </c>
      <c r="D47" s="123" t="s">
        <v>414</v>
      </c>
      <c r="E47" s="130"/>
    </row>
    <row r="48" spans="1:7" ht="12.75">
      <c r="A48" s="117">
        <v>1</v>
      </c>
      <c r="B48" s="118" t="s">
        <v>399</v>
      </c>
      <c r="C48" s="118" t="s">
        <v>415</v>
      </c>
      <c r="D48" s="118" t="s">
        <v>414</v>
      </c>
      <c r="E48" s="121">
        <v>181</v>
      </c>
      <c r="G48" s="135" t="s">
        <v>416</v>
      </c>
    </row>
    <row r="49" spans="1:7" ht="12.75">
      <c r="A49" s="122">
        <v>1</v>
      </c>
      <c r="B49" s="123" t="s">
        <v>399</v>
      </c>
      <c r="C49" s="123" t="s">
        <v>417</v>
      </c>
      <c r="D49" s="123" t="s">
        <v>397</v>
      </c>
      <c r="E49" s="126">
        <v>176</v>
      </c>
      <c r="G49" s="136" t="s">
        <v>418</v>
      </c>
    </row>
    <row r="50" spans="1:7" ht="12.75">
      <c r="A50" s="117">
        <v>1</v>
      </c>
      <c r="B50" s="118" t="s">
        <v>399</v>
      </c>
      <c r="C50" s="118" t="s">
        <v>419</v>
      </c>
      <c r="D50" s="118" t="s">
        <v>397</v>
      </c>
      <c r="E50" s="121">
        <v>169</v>
      </c>
      <c r="G50" s="137" t="s">
        <v>420</v>
      </c>
    </row>
    <row r="51" spans="1:7" ht="12.75">
      <c r="A51" s="122">
        <v>2</v>
      </c>
      <c r="B51" s="123" t="s">
        <v>421</v>
      </c>
      <c r="C51" s="123" t="s">
        <v>422</v>
      </c>
      <c r="D51" s="123" t="s">
        <v>404</v>
      </c>
      <c r="E51" s="126">
        <v>209</v>
      </c>
      <c r="G51" s="136" t="s">
        <v>423</v>
      </c>
    </row>
    <row r="52" spans="1:7" ht="12.75">
      <c r="A52" s="117">
        <v>1</v>
      </c>
      <c r="B52" s="118" t="s">
        <v>309</v>
      </c>
      <c r="C52" s="118" t="s">
        <v>424</v>
      </c>
      <c r="D52" s="118" t="s">
        <v>401</v>
      </c>
      <c r="E52" s="121">
        <v>223</v>
      </c>
      <c r="G52" s="135" t="s">
        <v>425</v>
      </c>
    </row>
    <row r="53" spans="1:7" ht="12.75">
      <c r="A53" s="122">
        <v>1</v>
      </c>
      <c r="B53" s="123" t="s">
        <v>399</v>
      </c>
      <c r="C53" s="123" t="s">
        <v>426</v>
      </c>
      <c r="D53" s="123" t="s">
        <v>427</v>
      </c>
      <c r="E53" s="130"/>
      <c r="G53" s="136" t="s">
        <v>428</v>
      </c>
    </row>
    <row r="54" spans="1:7" ht="12.75">
      <c r="A54" s="117">
        <v>1</v>
      </c>
      <c r="B54" s="118" t="s">
        <v>429</v>
      </c>
      <c r="C54" s="118" t="s">
        <v>430</v>
      </c>
      <c r="D54" s="118" t="s">
        <v>397</v>
      </c>
      <c r="E54" s="121">
        <v>247</v>
      </c>
      <c r="G54" s="135" t="s">
        <v>431</v>
      </c>
    </row>
    <row r="55" spans="1:7" ht="12.75">
      <c r="A55" s="122">
        <v>1</v>
      </c>
      <c r="B55" s="123" t="s">
        <v>429</v>
      </c>
      <c r="C55" s="123" t="s">
        <v>432</v>
      </c>
      <c r="D55" s="123" t="s">
        <v>433</v>
      </c>
      <c r="E55" s="126">
        <v>151</v>
      </c>
      <c r="G55" s="136" t="s">
        <v>434</v>
      </c>
    </row>
    <row r="56" spans="1:7" ht="12.75">
      <c r="A56" s="117">
        <v>1</v>
      </c>
      <c r="B56" s="118" t="s">
        <v>399</v>
      </c>
      <c r="C56" s="118" t="s">
        <v>435</v>
      </c>
      <c r="D56" s="118" t="s">
        <v>436</v>
      </c>
      <c r="E56" s="121">
        <v>376</v>
      </c>
      <c r="G56" s="135" t="s">
        <v>437</v>
      </c>
    </row>
    <row r="57" spans="1:7" ht="12.75">
      <c r="A57" s="122">
        <v>1</v>
      </c>
      <c r="B57" s="123" t="s">
        <v>421</v>
      </c>
      <c r="C57" s="123" t="s">
        <v>438</v>
      </c>
      <c r="D57" s="123" t="s">
        <v>308</v>
      </c>
      <c r="E57" s="130"/>
      <c r="G57" s="136" t="s">
        <v>439</v>
      </c>
    </row>
    <row r="58" spans="1:7" ht="12.75">
      <c r="A58" s="117">
        <v>1</v>
      </c>
      <c r="B58" s="118" t="s">
        <v>440</v>
      </c>
      <c r="C58" s="118" t="s">
        <v>441</v>
      </c>
      <c r="D58" s="118" t="s">
        <v>442</v>
      </c>
      <c r="E58" s="121">
        <v>857</v>
      </c>
      <c r="G58" s="135" t="s">
        <v>443</v>
      </c>
    </row>
    <row r="59" spans="1:7" ht="12.75">
      <c r="A59" s="122">
        <v>1</v>
      </c>
      <c r="B59" s="123" t="s">
        <v>421</v>
      </c>
      <c r="C59" s="123" t="s">
        <v>444</v>
      </c>
      <c r="D59" s="123" t="s">
        <v>445</v>
      </c>
      <c r="E59" s="126">
        <v>811</v>
      </c>
      <c r="G59" s="136" t="s">
        <v>446</v>
      </c>
    </row>
    <row r="60" spans="1:7" ht="12.75">
      <c r="A60" s="117">
        <v>1</v>
      </c>
      <c r="B60" s="118" t="s">
        <v>421</v>
      </c>
      <c r="C60" s="118" t="s">
        <v>447</v>
      </c>
      <c r="D60" s="118" t="s">
        <v>445</v>
      </c>
      <c r="E60" s="121">
        <v>285</v>
      </c>
      <c r="G60" s="135" t="s">
        <v>448</v>
      </c>
    </row>
    <row r="61" spans="1:7" ht="12.75">
      <c r="A61" s="122">
        <v>2</v>
      </c>
      <c r="B61" s="123" t="s">
        <v>421</v>
      </c>
      <c r="C61" s="123" t="s">
        <v>449</v>
      </c>
      <c r="D61" s="123" t="s">
        <v>445</v>
      </c>
      <c r="E61" s="126">
        <v>488</v>
      </c>
      <c r="G61" s="136" t="s">
        <v>450</v>
      </c>
    </row>
    <row r="62" spans="1:7" ht="12.75">
      <c r="A62" s="117">
        <v>2</v>
      </c>
      <c r="B62" s="118" t="s">
        <v>421</v>
      </c>
      <c r="C62" s="118" t="s">
        <v>451</v>
      </c>
      <c r="D62" s="118" t="s">
        <v>445</v>
      </c>
      <c r="E62" s="121">
        <v>205</v>
      </c>
      <c r="G62" s="135" t="s">
        <v>452</v>
      </c>
    </row>
    <row r="63" spans="1:7" ht="12.75">
      <c r="A63" s="122">
        <v>2</v>
      </c>
      <c r="B63" s="123" t="s">
        <v>421</v>
      </c>
      <c r="C63" s="123" t="s">
        <v>453</v>
      </c>
      <c r="D63" s="123" t="s">
        <v>414</v>
      </c>
      <c r="E63" s="126">
        <v>250</v>
      </c>
      <c r="G63" s="136" t="s">
        <v>454</v>
      </c>
    </row>
    <row r="64" spans="1:7" ht="12.75">
      <c r="A64" s="117">
        <v>1</v>
      </c>
      <c r="B64" s="118" t="s">
        <v>421</v>
      </c>
      <c r="C64" s="118" t="s">
        <v>455</v>
      </c>
      <c r="D64" s="118" t="s">
        <v>445</v>
      </c>
      <c r="E64" s="121">
        <v>764</v>
      </c>
      <c r="G64" s="135" t="s">
        <v>456</v>
      </c>
    </row>
    <row r="65" spans="1:7" ht="12.75">
      <c r="A65" s="122">
        <v>2</v>
      </c>
      <c r="B65" s="123" t="s">
        <v>285</v>
      </c>
      <c r="C65" s="123" t="s">
        <v>457</v>
      </c>
      <c r="D65" s="123" t="s">
        <v>445</v>
      </c>
      <c r="E65" s="130"/>
      <c r="F65" s="123">
        <v>200</v>
      </c>
    </row>
    <row r="66" spans="1:7" ht="12.75">
      <c r="A66" s="117">
        <v>3</v>
      </c>
      <c r="B66" s="118" t="s">
        <v>285</v>
      </c>
      <c r="C66" s="118" t="s">
        <v>458</v>
      </c>
      <c r="D66" s="118" t="s">
        <v>445</v>
      </c>
      <c r="E66" s="129"/>
      <c r="F66" s="118">
        <v>300</v>
      </c>
    </row>
    <row r="67" spans="1:7" ht="12.75">
      <c r="A67" s="122">
        <v>2</v>
      </c>
      <c r="B67" s="123" t="s">
        <v>399</v>
      </c>
      <c r="C67" s="123" t="s">
        <v>459</v>
      </c>
      <c r="D67" s="123" t="s">
        <v>427</v>
      </c>
      <c r="E67" s="126">
        <v>283</v>
      </c>
      <c r="G67" s="136" t="s">
        <v>460</v>
      </c>
    </row>
    <row r="68" spans="1:7" ht="12.75">
      <c r="A68" s="117">
        <v>1</v>
      </c>
      <c r="B68" s="118" t="s">
        <v>421</v>
      </c>
      <c r="C68" s="118" t="s">
        <v>461</v>
      </c>
      <c r="D68" s="118" t="s">
        <v>427</v>
      </c>
      <c r="E68" s="121">
        <v>756</v>
      </c>
      <c r="G68" s="135" t="s">
        <v>462</v>
      </c>
    </row>
    <row r="69" spans="1:7" ht="12.75">
      <c r="A69" s="122">
        <v>5</v>
      </c>
      <c r="B69" s="123" t="s">
        <v>463</v>
      </c>
      <c r="C69" s="123">
        <v>2920484</v>
      </c>
      <c r="D69" s="123" t="s">
        <v>464</v>
      </c>
      <c r="E69" s="130"/>
    </row>
    <row r="70" spans="1:7" ht="12.75">
      <c r="A70" s="117">
        <v>5</v>
      </c>
      <c r="B70" s="118" t="s">
        <v>463</v>
      </c>
      <c r="C70" s="118">
        <v>2110588</v>
      </c>
      <c r="D70" s="118" t="s">
        <v>465</v>
      </c>
      <c r="E70" s="129"/>
    </row>
    <row r="71" spans="1:7" ht="12.75">
      <c r="A71" s="122">
        <v>6</v>
      </c>
      <c r="B71" s="123" t="s">
        <v>463</v>
      </c>
      <c r="C71" s="123">
        <v>1159399</v>
      </c>
      <c r="D71" s="123" t="s">
        <v>466</v>
      </c>
      <c r="E71" s="130"/>
    </row>
    <row r="72" spans="1:7" ht="12.75">
      <c r="A72" s="117">
        <v>6</v>
      </c>
      <c r="B72" s="118" t="s">
        <v>463</v>
      </c>
      <c r="C72" s="118">
        <v>1152972</v>
      </c>
      <c r="D72" s="118" t="s">
        <v>467</v>
      </c>
      <c r="E72" s="129"/>
    </row>
    <row r="73" spans="1:7" ht="12.75">
      <c r="A73" s="122">
        <v>6</v>
      </c>
      <c r="B73" s="123" t="s">
        <v>463</v>
      </c>
      <c r="C73" s="123">
        <v>1159398</v>
      </c>
      <c r="D73" s="123" t="s">
        <v>466</v>
      </c>
      <c r="E73" s="130"/>
    </row>
    <row r="74" spans="1:7" ht="12.75">
      <c r="A74" s="117">
        <v>1</v>
      </c>
      <c r="B74" s="118" t="s">
        <v>468</v>
      </c>
      <c r="C74" s="118" t="s">
        <v>469</v>
      </c>
      <c r="D74" s="118" t="s">
        <v>470</v>
      </c>
      <c r="E74" s="121">
        <v>2512</v>
      </c>
      <c r="G74" s="135" t="s">
        <v>471</v>
      </c>
    </row>
    <row r="75" spans="1:7" ht="12.75">
      <c r="A75" s="122">
        <v>1</v>
      </c>
      <c r="B75" s="123" t="s">
        <v>309</v>
      </c>
      <c r="C75" s="123" t="s">
        <v>472</v>
      </c>
      <c r="D75" s="123" t="s">
        <v>473</v>
      </c>
      <c r="E75" s="126">
        <v>526</v>
      </c>
      <c r="G75" s="136" t="s">
        <v>474</v>
      </c>
    </row>
    <row r="76" spans="1:7" ht="12.75">
      <c r="A76" s="117">
        <v>0</v>
      </c>
      <c r="B76" s="118" t="s">
        <v>421</v>
      </c>
      <c r="C76" s="118" t="s">
        <v>475</v>
      </c>
      <c r="D76" s="118" t="s">
        <v>476</v>
      </c>
      <c r="E76" s="121">
        <v>479</v>
      </c>
      <c r="G76" s="135" t="s">
        <v>477</v>
      </c>
    </row>
    <row r="77" spans="1:7" ht="12.75">
      <c r="A77" s="122">
        <v>0</v>
      </c>
      <c r="B77" s="123" t="s">
        <v>297</v>
      </c>
      <c r="C77" s="123" t="s">
        <v>478</v>
      </c>
      <c r="D77" s="123" t="s">
        <v>299</v>
      </c>
      <c r="E77" s="126">
        <v>566</v>
      </c>
      <c r="G77" s="136" t="s">
        <v>479</v>
      </c>
    </row>
    <row r="78" spans="1:7" ht="12.75">
      <c r="A78" s="117">
        <v>0</v>
      </c>
      <c r="B78" s="118" t="s">
        <v>297</v>
      </c>
      <c r="C78" s="118" t="s">
        <v>480</v>
      </c>
      <c r="D78" s="118" t="s">
        <v>445</v>
      </c>
      <c r="E78" s="121">
        <v>104</v>
      </c>
      <c r="G78" s="135" t="s">
        <v>481</v>
      </c>
    </row>
    <row r="79" spans="1:7" ht="12.75">
      <c r="A79" s="122">
        <v>0</v>
      </c>
      <c r="B79" s="123" t="s">
        <v>421</v>
      </c>
      <c r="C79" s="123" t="s">
        <v>482</v>
      </c>
      <c r="D79" s="123" t="s">
        <v>483</v>
      </c>
      <c r="E79" s="126">
        <v>227</v>
      </c>
      <c r="G79" s="136" t="s">
        <v>484</v>
      </c>
    </row>
    <row r="80" spans="1:7" ht="12.75">
      <c r="A80" s="117">
        <v>0</v>
      </c>
      <c r="B80" s="118" t="s">
        <v>421</v>
      </c>
      <c r="C80" s="118" t="s">
        <v>485</v>
      </c>
      <c r="D80" s="118" t="s">
        <v>483</v>
      </c>
      <c r="E80" s="121">
        <v>164</v>
      </c>
      <c r="F80" s="118">
        <v>8</v>
      </c>
      <c r="G80" s="135" t="s">
        <v>486</v>
      </c>
    </row>
    <row r="81" spans="1:7" ht="12.75">
      <c r="A81" s="122">
        <v>0</v>
      </c>
      <c r="B81" s="123" t="s">
        <v>421</v>
      </c>
      <c r="C81" s="123" t="s">
        <v>487</v>
      </c>
      <c r="D81" s="123" t="s">
        <v>308</v>
      </c>
      <c r="E81" s="126">
        <v>1126</v>
      </c>
      <c r="F81" s="123">
        <v>8</v>
      </c>
      <c r="G81" s="136" t="s">
        <v>488</v>
      </c>
    </row>
    <row r="82" spans="1:7" ht="12.75">
      <c r="A82" s="117">
        <v>0</v>
      </c>
      <c r="B82" s="118" t="s">
        <v>421</v>
      </c>
      <c r="C82" s="118" t="s">
        <v>455</v>
      </c>
      <c r="D82" s="118" t="s">
        <v>489</v>
      </c>
      <c r="E82" s="121">
        <v>764</v>
      </c>
      <c r="F82" s="118">
        <v>8</v>
      </c>
      <c r="G82" s="135" t="s">
        <v>456</v>
      </c>
    </row>
    <row r="83" spans="1:7" ht="12.75">
      <c r="A83" s="122">
        <v>0</v>
      </c>
      <c r="B83" s="123" t="s">
        <v>421</v>
      </c>
      <c r="C83" s="123" t="s">
        <v>490</v>
      </c>
      <c r="D83" s="123" t="s">
        <v>491</v>
      </c>
      <c r="E83" s="126">
        <v>451</v>
      </c>
      <c r="F83" s="123">
        <v>8</v>
      </c>
      <c r="G83" s="136" t="s">
        <v>492</v>
      </c>
    </row>
    <row r="84" spans="1:7" ht="12.75">
      <c r="A84" s="117">
        <v>0</v>
      </c>
      <c r="B84" s="118" t="s">
        <v>421</v>
      </c>
      <c r="C84" s="118" t="s">
        <v>493</v>
      </c>
      <c r="D84" s="118" t="s">
        <v>494</v>
      </c>
      <c r="E84" s="121">
        <v>217</v>
      </c>
      <c r="F84" s="118">
        <v>8</v>
      </c>
      <c r="G84" s="135" t="s">
        <v>495</v>
      </c>
    </row>
    <row r="85" spans="1:7" ht="12.75">
      <c r="A85" s="122">
        <v>0</v>
      </c>
      <c r="B85" s="123" t="s">
        <v>496</v>
      </c>
      <c r="C85" s="123">
        <v>51971</v>
      </c>
      <c r="D85" s="123" t="s">
        <v>494</v>
      </c>
      <c r="E85" s="126">
        <v>600</v>
      </c>
      <c r="F85" s="123">
        <v>8</v>
      </c>
      <c r="G85" s="136" t="s">
        <v>497</v>
      </c>
    </row>
    <row r="86" spans="1:7" ht="12.75">
      <c r="A86" s="117">
        <v>1</v>
      </c>
      <c r="B86" s="118" t="s">
        <v>297</v>
      </c>
      <c r="C86" s="118" t="s">
        <v>498</v>
      </c>
      <c r="D86" s="118" t="s">
        <v>445</v>
      </c>
      <c r="E86" s="121">
        <v>107</v>
      </c>
      <c r="G86" s="135" t="s">
        <v>499</v>
      </c>
    </row>
    <row r="87" spans="1:7" ht="12.75">
      <c r="A87" s="122">
        <v>1</v>
      </c>
      <c r="B87" s="123" t="s">
        <v>366</v>
      </c>
      <c r="C87" s="123">
        <v>181880</v>
      </c>
      <c r="D87" s="123" t="s">
        <v>500</v>
      </c>
      <c r="E87" s="126">
        <v>333</v>
      </c>
      <c r="G87" s="136" t="s">
        <v>501</v>
      </c>
    </row>
    <row r="88" spans="1:7" ht="12.75">
      <c r="A88" s="117">
        <v>1</v>
      </c>
      <c r="B88" s="118" t="s">
        <v>502</v>
      </c>
      <c r="C88" s="118" t="s">
        <v>503</v>
      </c>
      <c r="D88" s="118" t="s">
        <v>504</v>
      </c>
      <c r="E88" s="129"/>
    </row>
    <row r="89" spans="1:7" ht="12.75">
      <c r="A89" s="122">
        <v>1</v>
      </c>
      <c r="B89" s="123" t="s">
        <v>502</v>
      </c>
      <c r="C89" s="123" t="s">
        <v>505</v>
      </c>
      <c r="D89" s="123" t="s">
        <v>504</v>
      </c>
      <c r="E89" s="130"/>
    </row>
    <row r="90" spans="1:7" ht="12.75">
      <c r="A90" s="117">
        <v>1</v>
      </c>
      <c r="B90" s="118" t="s">
        <v>329</v>
      </c>
      <c r="C90" s="118">
        <v>23093</v>
      </c>
      <c r="D90" s="118" t="s">
        <v>506</v>
      </c>
      <c r="E90" s="129"/>
    </row>
    <row r="91" spans="1:7" ht="12.75">
      <c r="A91" s="122">
        <v>1</v>
      </c>
      <c r="B91" s="123" t="s">
        <v>507</v>
      </c>
      <c r="C91" s="131" t="s">
        <v>508</v>
      </c>
      <c r="D91" s="123" t="s">
        <v>509</v>
      </c>
      <c r="E91" s="126">
        <v>373</v>
      </c>
    </row>
    <row r="92" spans="1:7" ht="12.75">
      <c r="A92" s="117">
        <v>1</v>
      </c>
      <c r="B92" s="118" t="s">
        <v>510</v>
      </c>
      <c r="C92" s="118" t="s">
        <v>511</v>
      </c>
      <c r="D92" s="118" t="s">
        <v>512</v>
      </c>
      <c r="E92" s="121">
        <v>620</v>
      </c>
      <c r="G92" s="135" t="s">
        <v>513</v>
      </c>
    </row>
    <row r="93" spans="1:7" ht="12.75">
      <c r="A93" s="132">
        <v>1</v>
      </c>
      <c r="B93" s="138" t="s">
        <v>502</v>
      </c>
      <c r="C93" s="138" t="s">
        <v>514</v>
      </c>
      <c r="D93" s="138" t="s">
        <v>515</v>
      </c>
      <c r="E93" s="134">
        <v>1262</v>
      </c>
    </row>
  </sheetData>
  <dataValidations count="2">
    <dataValidation type="custom" allowBlank="1" showDropDown="1" sqref="A2:A93 E2:E93">
      <formula1>AND(ISNUMBER(A2),(NOT(OR(NOT(ISERROR(DATEVALUE(A2))), AND(ISNUMBER(A2), LEFT(CELL("format", A2))="D")))))</formula1>
    </dataValidation>
    <dataValidation allowBlank="1" showDropDown="1" sqref="B2:B93 D2:D93"/>
  </dataValidations>
  <hyperlinks>
    <hyperlink ref="G2" r:id="rId1"/>
    <hyperlink ref="G3" r:id="rId2"/>
    <hyperlink ref="G4" r:id="rId3"/>
    <hyperlink ref="G5" r:id="rId4"/>
    <hyperlink ref="G6" r:id="rId5"/>
    <hyperlink ref="G7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8" r:id="rId15"/>
    <hyperlink ref="G19" r:id="rId16"/>
    <hyperlink ref="G21" r:id="rId17"/>
    <hyperlink ref="G23" r:id="rId18"/>
    <hyperlink ref="G24" r:id="rId19"/>
    <hyperlink ref="G25" r:id="rId20"/>
    <hyperlink ref="G26" r:id="rId21"/>
    <hyperlink ref="G28" r:id="rId22"/>
    <hyperlink ref="G29" r:id="rId23"/>
    <hyperlink ref="G30" r:id="rId24"/>
    <hyperlink ref="G31" r:id="rId25"/>
    <hyperlink ref="G32" r:id="rId26"/>
    <hyperlink ref="G33" r:id="rId27"/>
    <hyperlink ref="G34" r:id="rId28"/>
    <hyperlink ref="G36" r:id="rId29" location="is_advertising=true&amp;position=1&amp;search_layout=stack&amp;type=pad&amp;tracking_id=8603767b-2f2c-4eec-a932-b0badad2e316&amp;is_advertising=true&amp;ad_domain=VQCATCORE_LST&amp;ad_position=1&amp;ad_click_id=YWRkMmYxMmItZjc4NS00NjNlLTg0NDctM2EzOGVhZTJmODAx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8" r:id="rId39"/>
    <hyperlink ref="G49" r:id="rId40"/>
    <hyperlink ref="G50" r:id="rId41"/>
    <hyperlink ref="G51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59" r:id="rId50"/>
    <hyperlink ref="G60" r:id="rId51"/>
    <hyperlink ref="G61" r:id="rId52"/>
    <hyperlink ref="G62" r:id="rId53"/>
    <hyperlink ref="G63" r:id="rId54"/>
    <hyperlink ref="G64" r:id="rId55"/>
    <hyperlink ref="G67" r:id="rId56"/>
    <hyperlink ref="G68" r:id="rId57"/>
    <hyperlink ref="G74" r:id="rId58"/>
    <hyperlink ref="G75" r:id="rId59"/>
    <hyperlink ref="G76" r:id="rId60"/>
    <hyperlink ref="G77" r:id="rId61"/>
    <hyperlink ref="G78" r:id="rId62"/>
    <hyperlink ref="G79" r:id="rId63"/>
    <hyperlink ref="G80" r:id="rId64"/>
    <hyperlink ref="G81" r:id="rId65"/>
    <hyperlink ref="G82" r:id="rId66"/>
    <hyperlink ref="G83" r:id="rId67"/>
    <hyperlink ref="G84" r:id="rId68"/>
    <hyperlink ref="G85" r:id="rId69"/>
    <hyperlink ref="G86" r:id="rId70"/>
    <hyperlink ref="G87" r:id="rId71"/>
    <hyperlink ref="G92" r:id="rId72"/>
  </hyperlinks>
  <pageMargins left="0.7" right="0.7" top="0.75" bottom="0.75" header="0.3" footer="0.3"/>
  <tableParts count="1">
    <tablePart r:id="rId7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10"/>
  <sheetViews>
    <sheetView workbookViewId="0"/>
  </sheetViews>
  <sheetFormatPr defaultColWidth="12.5703125" defaultRowHeight="15.75" customHeight="1"/>
  <cols>
    <col min="1" max="1" width="26" customWidth="1"/>
    <col min="2" max="2" width="18.7109375" customWidth="1"/>
    <col min="9" max="9" width="29" customWidth="1"/>
    <col min="10" max="10" width="17.42578125" customWidth="1"/>
    <col min="12" max="12" width="16.7109375" customWidth="1"/>
  </cols>
  <sheetData>
    <row r="1" spans="1:12">
      <c r="A1" s="139" t="s">
        <v>516</v>
      </c>
      <c r="B1" s="139" t="s">
        <v>517</v>
      </c>
      <c r="C1" s="139" t="s">
        <v>245</v>
      </c>
      <c r="D1" s="139" t="s">
        <v>518</v>
      </c>
      <c r="E1" s="139" t="s">
        <v>519</v>
      </c>
      <c r="F1" s="139" t="s">
        <v>520</v>
      </c>
      <c r="G1" s="139" t="s">
        <v>521</v>
      </c>
      <c r="H1" s="139" t="s">
        <v>522</v>
      </c>
      <c r="I1" s="139" t="s">
        <v>248</v>
      </c>
      <c r="J1" s="140" t="s">
        <v>523</v>
      </c>
      <c r="K1" s="139" t="s">
        <v>524</v>
      </c>
      <c r="L1" s="139" t="s">
        <v>525</v>
      </c>
    </row>
    <row r="2" spans="1:12">
      <c r="A2" s="141" t="s">
        <v>526</v>
      </c>
      <c r="B2" s="141" t="s">
        <v>527</v>
      </c>
      <c r="C2" s="141" t="s">
        <v>528</v>
      </c>
      <c r="D2" s="141" t="s">
        <v>529</v>
      </c>
      <c r="E2" s="141"/>
      <c r="F2" s="141" t="s">
        <v>530</v>
      </c>
      <c r="G2" s="141"/>
      <c r="H2" s="142"/>
      <c r="I2" s="142"/>
      <c r="J2" s="143"/>
      <c r="K2" s="142"/>
      <c r="L2" s="142"/>
    </row>
    <row r="3" spans="1:12">
      <c r="A3" s="144" t="s">
        <v>531</v>
      </c>
      <c r="B3" s="144" t="s">
        <v>532</v>
      </c>
      <c r="C3" s="144" t="s">
        <v>533</v>
      </c>
      <c r="D3" s="144" t="s">
        <v>529</v>
      </c>
      <c r="E3" s="144" t="s">
        <v>534</v>
      </c>
      <c r="F3" s="144" t="s">
        <v>535</v>
      </c>
      <c r="G3" s="144" t="s">
        <v>535</v>
      </c>
      <c r="H3" s="144" t="s">
        <v>536</v>
      </c>
      <c r="I3" s="144" t="s">
        <v>537</v>
      </c>
      <c r="J3" s="145" t="s">
        <v>538</v>
      </c>
      <c r="K3" s="144" t="s">
        <v>539</v>
      </c>
      <c r="L3" s="146"/>
    </row>
    <row r="4" spans="1:12">
      <c r="A4" s="144" t="s">
        <v>540</v>
      </c>
      <c r="B4" s="144" t="s">
        <v>541</v>
      </c>
      <c r="C4" s="144" t="s">
        <v>542</v>
      </c>
      <c r="D4" s="144" t="s">
        <v>529</v>
      </c>
      <c r="E4" s="144"/>
      <c r="F4" s="146"/>
      <c r="G4" s="144" t="s">
        <v>543</v>
      </c>
      <c r="H4" s="146"/>
      <c r="I4" s="146"/>
      <c r="J4" s="147"/>
      <c r="K4" s="146"/>
      <c r="L4" s="146"/>
    </row>
    <row r="5" spans="1:12">
      <c r="A5" s="144" t="s">
        <v>544</v>
      </c>
      <c r="B5" s="144" t="s">
        <v>545</v>
      </c>
      <c r="C5" s="144" t="s">
        <v>542</v>
      </c>
      <c r="D5" s="144" t="s">
        <v>542</v>
      </c>
      <c r="E5" s="144" t="s">
        <v>546</v>
      </c>
      <c r="F5" s="144" t="s">
        <v>547</v>
      </c>
      <c r="G5" s="144" t="s">
        <v>548</v>
      </c>
      <c r="H5" s="144" t="s">
        <v>549</v>
      </c>
      <c r="I5" s="144" t="s">
        <v>550</v>
      </c>
      <c r="J5" s="145" t="s">
        <v>538</v>
      </c>
      <c r="K5" s="144" t="s">
        <v>551</v>
      </c>
      <c r="L5" s="144" t="s">
        <v>552</v>
      </c>
    </row>
    <row r="6" spans="1:12">
      <c r="A6" s="144" t="s">
        <v>553</v>
      </c>
      <c r="B6" s="144" t="s">
        <v>554</v>
      </c>
      <c r="C6" s="144" t="s">
        <v>555</v>
      </c>
      <c r="D6" s="144" t="s">
        <v>529</v>
      </c>
      <c r="E6" s="144"/>
      <c r="F6" s="144" t="s">
        <v>556</v>
      </c>
      <c r="G6" s="144" t="s">
        <v>556</v>
      </c>
      <c r="H6" s="146"/>
      <c r="I6" s="146"/>
      <c r="J6" s="147"/>
      <c r="K6" s="146"/>
      <c r="L6" s="146"/>
    </row>
    <row r="7" spans="1:12">
      <c r="A7" s="144" t="s">
        <v>557</v>
      </c>
      <c r="B7" s="144" t="s">
        <v>558</v>
      </c>
      <c r="C7" s="144" t="s">
        <v>555</v>
      </c>
      <c r="D7" s="144" t="s">
        <v>559</v>
      </c>
      <c r="E7" s="144"/>
      <c r="F7" s="144" t="s">
        <v>560</v>
      </c>
      <c r="G7" s="144" t="s">
        <v>560</v>
      </c>
      <c r="H7" s="146"/>
      <c r="I7" s="146"/>
      <c r="J7" s="147"/>
      <c r="K7" s="146"/>
      <c r="L7" s="146"/>
    </row>
    <row r="8" spans="1:12">
      <c r="A8" s="148" t="s">
        <v>561</v>
      </c>
      <c r="B8" s="148" t="s">
        <v>562</v>
      </c>
      <c r="C8" s="148" t="s">
        <v>555</v>
      </c>
      <c r="D8" s="148" t="s">
        <v>563</v>
      </c>
      <c r="E8" s="148"/>
      <c r="F8" s="148"/>
      <c r="G8" s="148" t="s">
        <v>564</v>
      </c>
      <c r="H8" s="146"/>
      <c r="I8" s="146"/>
      <c r="J8" s="147"/>
      <c r="K8" s="146"/>
      <c r="L8" s="146"/>
    </row>
    <row r="9" spans="1:12">
      <c r="A9" s="144" t="s">
        <v>540</v>
      </c>
      <c r="B9" s="144" t="s">
        <v>565</v>
      </c>
      <c r="C9" s="144" t="s">
        <v>542</v>
      </c>
      <c r="D9" s="144" t="s">
        <v>559</v>
      </c>
      <c r="E9" s="144"/>
      <c r="F9" s="146"/>
      <c r="G9" s="144"/>
      <c r="H9" s="146"/>
      <c r="I9" s="146"/>
      <c r="J9" s="147"/>
      <c r="K9" s="146"/>
      <c r="L9" s="146"/>
    </row>
    <row r="10" spans="1:12">
      <c r="A10" s="149" t="s">
        <v>540</v>
      </c>
      <c r="B10" s="149" t="s">
        <v>566</v>
      </c>
      <c r="C10" s="149" t="s">
        <v>542</v>
      </c>
      <c r="D10" s="149" t="s">
        <v>563</v>
      </c>
      <c r="E10" s="149"/>
      <c r="F10" s="150"/>
      <c r="G10" s="149"/>
      <c r="H10" s="150"/>
      <c r="I10" s="150"/>
      <c r="J10" s="151"/>
      <c r="K10" s="150"/>
      <c r="L10" s="15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35"/>
  <sheetViews>
    <sheetView workbookViewId="0"/>
  </sheetViews>
  <sheetFormatPr defaultColWidth="12.5703125" defaultRowHeight="15.75" customHeight="1"/>
  <cols>
    <col min="1" max="1" width="6.5703125" customWidth="1"/>
    <col min="2" max="2" width="28.42578125" customWidth="1"/>
    <col min="3" max="3" width="14.7109375" customWidth="1"/>
    <col min="4" max="4" width="18.5703125" customWidth="1"/>
  </cols>
  <sheetData>
    <row r="2" spans="2:5">
      <c r="B2" s="4" t="s">
        <v>169</v>
      </c>
      <c r="C2" s="5" t="s">
        <v>4</v>
      </c>
      <c r="D2" s="5" t="s">
        <v>5</v>
      </c>
      <c r="E2" s="6" t="s">
        <v>6</v>
      </c>
    </row>
    <row r="3" spans="2:5">
      <c r="B3" s="12"/>
      <c r="C3" s="13"/>
      <c r="D3" s="13"/>
      <c r="E3" s="14"/>
    </row>
    <row r="4" spans="2:5">
      <c r="B4" s="20">
        <v>1</v>
      </c>
      <c r="C4" s="21"/>
      <c r="D4" s="21" t="s">
        <v>16</v>
      </c>
      <c r="E4" s="22"/>
    </row>
    <row r="5" spans="2:5">
      <c r="B5" s="23">
        <v>2</v>
      </c>
      <c r="C5" s="24"/>
      <c r="D5" s="25" t="s">
        <v>21</v>
      </c>
      <c r="E5" s="26"/>
    </row>
    <row r="6" spans="2:5">
      <c r="B6" s="23">
        <v>3</v>
      </c>
      <c r="C6" s="24"/>
      <c r="D6" s="25" t="s">
        <v>170</v>
      </c>
      <c r="E6" s="26"/>
    </row>
    <row r="7" spans="2:5">
      <c r="B7" s="70">
        <v>4</v>
      </c>
      <c r="C7" s="71" t="s">
        <v>30</v>
      </c>
      <c r="D7" s="71" t="s">
        <v>31</v>
      </c>
      <c r="E7" s="72"/>
    </row>
    <row r="8" spans="2:5">
      <c r="B8" s="70">
        <v>5</v>
      </c>
      <c r="C8" s="71" t="s">
        <v>30</v>
      </c>
      <c r="D8" s="71" t="s">
        <v>171</v>
      </c>
      <c r="E8" s="72"/>
    </row>
    <row r="9" spans="2:5">
      <c r="B9" s="32">
        <v>6</v>
      </c>
      <c r="C9" s="33" t="s">
        <v>39</v>
      </c>
      <c r="D9" s="33"/>
      <c r="E9" s="34"/>
    </row>
    <row r="10" spans="2:5">
      <c r="B10" s="73">
        <v>7</v>
      </c>
      <c r="C10" s="74" t="s">
        <v>45</v>
      </c>
      <c r="D10" s="74" t="s">
        <v>46</v>
      </c>
      <c r="E10" s="75"/>
    </row>
    <row r="11" spans="2:5">
      <c r="B11" s="38">
        <v>8</v>
      </c>
      <c r="C11" s="39" t="s">
        <v>50</v>
      </c>
      <c r="D11" s="39" t="s">
        <v>51</v>
      </c>
      <c r="E11" s="40"/>
    </row>
    <row r="12" spans="2:5">
      <c r="B12" s="41">
        <v>9</v>
      </c>
      <c r="C12" s="42" t="s">
        <v>55</v>
      </c>
      <c r="D12" s="42" t="s">
        <v>56</v>
      </c>
      <c r="E12" s="43"/>
    </row>
    <row r="13" spans="2:5">
      <c r="B13" s="12">
        <v>10</v>
      </c>
      <c r="C13" s="13"/>
      <c r="D13" s="46"/>
      <c r="E13" s="14"/>
    </row>
    <row r="14" spans="2:5">
      <c r="B14" s="73">
        <v>11</v>
      </c>
      <c r="C14" s="74" t="s">
        <v>45</v>
      </c>
      <c r="D14" s="74" t="s">
        <v>40</v>
      </c>
      <c r="E14" s="75"/>
    </row>
    <row r="15" spans="2:5">
      <c r="B15" s="73">
        <v>12</v>
      </c>
      <c r="C15" s="74" t="s">
        <v>45</v>
      </c>
      <c r="D15" s="74" t="s">
        <v>65</v>
      </c>
      <c r="E15" s="75"/>
    </row>
    <row r="16" spans="2:5">
      <c r="B16" s="73">
        <v>13</v>
      </c>
      <c r="C16" s="74" t="s">
        <v>45</v>
      </c>
      <c r="D16" s="74"/>
      <c r="E16" s="75"/>
    </row>
    <row r="17" spans="2:5">
      <c r="B17" s="54">
        <v>14</v>
      </c>
      <c r="C17" s="55" t="s">
        <v>68</v>
      </c>
      <c r="D17" s="55" t="s">
        <v>69</v>
      </c>
      <c r="E17" s="56"/>
    </row>
    <row r="18" spans="2:5">
      <c r="B18" s="48">
        <v>15</v>
      </c>
      <c r="C18" s="49" t="s">
        <v>71</v>
      </c>
      <c r="D18" s="50"/>
      <c r="E18" s="51"/>
    </row>
    <row r="19" spans="2:5">
      <c r="B19" s="73">
        <v>16</v>
      </c>
      <c r="C19" s="74" t="s">
        <v>73</v>
      </c>
      <c r="D19" s="74" t="s">
        <v>74</v>
      </c>
      <c r="E19" s="75"/>
    </row>
    <row r="20" spans="2:5">
      <c r="B20" s="48">
        <v>17</v>
      </c>
      <c r="C20" s="49" t="s">
        <v>76</v>
      </c>
      <c r="D20" s="49"/>
      <c r="E20" s="51"/>
    </row>
    <row r="21" spans="2:5">
      <c r="B21" s="32">
        <v>18</v>
      </c>
      <c r="C21" s="33" t="s">
        <v>39</v>
      </c>
      <c r="D21" s="33" t="s">
        <v>77</v>
      </c>
      <c r="E21" s="34"/>
    </row>
    <row r="22" spans="2:5">
      <c r="B22" s="32">
        <v>19</v>
      </c>
      <c r="C22" s="33" t="s">
        <v>39</v>
      </c>
      <c r="D22" s="33"/>
      <c r="E22" s="34"/>
    </row>
    <row r="23" spans="2:5">
      <c r="B23" s="32">
        <v>20</v>
      </c>
      <c r="C23" s="33" t="s">
        <v>39</v>
      </c>
      <c r="D23" s="33"/>
      <c r="E23" s="34"/>
    </row>
    <row r="24" spans="2:5">
      <c r="B24" s="54">
        <v>21</v>
      </c>
      <c r="C24" s="55" t="s">
        <v>79</v>
      </c>
      <c r="D24" s="55"/>
      <c r="E24" s="56"/>
    </row>
    <row r="25" spans="2:5">
      <c r="B25" s="38">
        <v>22</v>
      </c>
      <c r="C25" s="39" t="s">
        <v>50</v>
      </c>
      <c r="D25" s="39" t="s">
        <v>81</v>
      </c>
      <c r="E25" s="40"/>
    </row>
    <row r="26" spans="2:5">
      <c r="B26" s="57">
        <v>23</v>
      </c>
      <c r="C26" s="58" t="s">
        <v>82</v>
      </c>
      <c r="D26" s="59"/>
      <c r="E26" s="60"/>
    </row>
    <row r="27" spans="2:5">
      <c r="B27" s="1" t="s">
        <v>172</v>
      </c>
    </row>
    <row r="28" spans="2:5">
      <c r="B28" s="1" t="s">
        <v>173</v>
      </c>
    </row>
    <row r="29" spans="2:5">
      <c r="B29" s="1" t="s">
        <v>174</v>
      </c>
    </row>
    <row r="30" spans="2:5">
      <c r="B30" s="1" t="s">
        <v>175</v>
      </c>
    </row>
    <row r="31" spans="2:5">
      <c r="B31" s="1" t="s">
        <v>176</v>
      </c>
    </row>
    <row r="32" spans="2:5">
      <c r="B32" s="1" t="s">
        <v>177</v>
      </c>
    </row>
    <row r="33" spans="2:2">
      <c r="B33" s="1" t="s">
        <v>178</v>
      </c>
    </row>
    <row r="34" spans="2:2">
      <c r="B34" s="1" t="s">
        <v>179</v>
      </c>
    </row>
    <row r="35" spans="2:2">
      <c r="B35" s="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datos iniciales</vt:lpstr>
      <vt:lpstr>Flotilla</vt:lpstr>
      <vt:lpstr>existencia</vt:lpstr>
      <vt:lpstr>existencia.old</vt:lpstr>
      <vt:lpstr>insumos</vt:lpstr>
      <vt:lpstr>herramienta</vt:lpstr>
      <vt:lpstr>mapa de red</vt:lpstr>
      <vt:lpstr>tmp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elduke</cp:lastModifiedBy>
  <dcterms:modified xsi:type="dcterms:W3CDTF">2025-10-17T11:49:39Z</dcterms:modified>
</cp:coreProperties>
</file>